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https://d.docs.live.net/96b14c7274b6e415/Desktop/"/>
    </mc:Choice>
  </mc:AlternateContent>
  <xr:revisionPtr revIDLastSave="0" documentId="8_{EB6E80B8-4707-4335-8D10-A1A7DAB3C470}" xr6:coauthVersionLast="47" xr6:coauthVersionMax="47" xr10:uidLastSave="{00000000-0000-0000-0000-000000000000}"/>
  <bookViews>
    <workbookView xWindow="-120" yWindow="-120" windowWidth="20730" windowHeight="11040" xr2:uid="{26D4546B-D2A1-4444-8EAF-A6228F96F0C1}"/>
  </bookViews>
  <sheets>
    <sheet name="Dashboard" sheetId="5" r:id="rId1"/>
    <sheet name="pivot" sheetId="6" r:id="rId2"/>
    <sheet name="Data" sheetId="2" r:id="rId3"/>
    <sheet name="Assets" sheetId="4" r:id="rId4"/>
  </sheets>
  <definedNames>
    <definedName name="_xlnm._FilterDatabase" localSheetId="2" hidden="1">Data!$B$3:$H$1003</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3" i="5" l="1"/>
  <c r="J59" i="6"/>
  <c r="L28" i="5" s="1"/>
  <c r="J49" i="6"/>
  <c r="J52" i="6" s="1"/>
  <c r="J57" i="6" s="1"/>
  <c r="M35" i="5" s="1"/>
  <c r="J48" i="6"/>
  <c r="J51" i="6" s="1"/>
  <c r="J56" i="6" s="1"/>
  <c r="M34" i="5" s="1"/>
  <c r="J47" i="6"/>
  <c r="J55" i="6" s="1"/>
  <c r="P20" i="5" a="1"/>
  <c r="P20" i="5" s="1"/>
  <c r="Q19" i="5" a="1"/>
  <c r="Q19" i="5" s="1"/>
  <c r="K36" i="6"/>
  <c r="K39" i="6" s="1"/>
  <c r="G38" i="6" a="1"/>
  <c r="G38"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42" i="6" l="1"/>
  <c r="J38" i="6"/>
  <c r="J41" i="6"/>
  <c r="J40" i="6"/>
  <c r="J39" i="6"/>
  <c r="K38" i="6"/>
  <c r="K42" i="6"/>
  <c r="K41" i="6"/>
  <c r="K4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79EF06-8073-47E4-8C2E-BC95FC24135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07C25E3-EF4A-4B8F-BDBC-A5095A80995F}"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xr16:uid="{302ECCB7-2CB2-4D74-AFC4-9339D07724B5}"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<sst xmlns="http://schemas.openxmlformats.org/spreadsheetml/2006/main" count="3172" uniqueCount="1086">
  <si>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</si>
  <si>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</si>
  <si>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</si>
  <si>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</si>
  <si>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</si>
  <si>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</si>
  <si>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</si>
  <si>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</si>
  <si>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</si>
  <si>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</si>
  <si>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</si>
  <si>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</si>
  <si>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</si>
  <si>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</si>
  <si>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</si>
  <si>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</si>
  <si>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</si>
  <si>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</si>
  <si>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</si>
  <si>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</si>
  <si>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</si>
  <si>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</si>
  <si>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</si>
  <si>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</si>
  <si>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</si>
  <si>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</si>
  <si>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</si>
  <si>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</si>
  <si>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</si>
  <si>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</si>
  <si>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</si>
  <si>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</si>
  <si>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</si>
  <si>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</si>
  <si>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</si>
  <si>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</si>
  <si>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</si>
  <si>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</si>
  <si>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</si>
  <si>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</si>
  <si>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</si>
  <si>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</si>
  <si>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</si>
  <si>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</si>
  <si>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</si>
  <si>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</si>
  <si>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</si>
  <si>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</si>
  <si>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</si>
  <si>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</si>
  <si>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</si>
  <si>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</si>
  <si>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</si>
  <si>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</si>
  <si>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</si>
  <si>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</si>
  <si>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</si>
  <si>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</si>
  <si>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</si>
  <si>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</si>
  <si>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</si>
  <si>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</si>
  <si>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</si>
  <si>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</si>
  <si>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</si>
  <si>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</si>
  <si>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</si>
  <si>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</si>
  <si>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</si>
  <si>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</si>
  <si>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</si>
  <si>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</si>
  <si>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</si>
  <si>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</si>
  <si>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</si>
  <si>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</si>
  <si>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</si>
  <si>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</si>
  <si>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</si>
  <si>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</si>
  <si>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</si>
  <si>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</si>
  <si>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</si>
  <si>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</si>
  <si>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</si>
  <si>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</si>
  <si>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</si>
  <si>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</si>
  <si>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</si>
  <si>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</si>
  <si>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</si>
  <si>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</si>
  <si>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</si>
  <si>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</si>
  <si>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</si>
  <si>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</si>
  <si>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</si>
  <si>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</si>
  <si>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</si>
  <si>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</si>
  <si>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</si>
  <si>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</si>
  <si>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</si>
  <si>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</si>
  <si>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</si>
  <si>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</si>
  <si>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</si>
  <si>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</si>
  <si>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</si>
  <si>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</si>
  <si>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</si>
  <si>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</si>
  <si>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</si>
  <si>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</si>
  <si>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</si>
  <si>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</si>
  <si>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</si>
  <si>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</si>
  <si>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</si>
  <si>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</si>
  <si>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</si>
  <si>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</si>
  <si>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</si>
  <si>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</si>
  <si>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</si>
  <si>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</si>
  <si>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</si>
  <si>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</si>
  <si>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</si>
  <si>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</si>
  <si>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</si>
  <si>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</si>
  <si>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</si>
  <si>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</si>
  <si>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</si>
  <si>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</si>
  <si>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</si>
  <si>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</si>
  <si>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</si>
  <si>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</si>
  <si>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</si>
  <si>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</si>
  <si>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</si>
  <si>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</si>
  <si>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</si>
  <si>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</si>
  <si>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</si>
  <si>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</si>
  <si>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</si>
  <si>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</si>
  <si>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</si>
  <si>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</si>
  <si>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</si>
  <si>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</si>
  <si>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</si>
  <si>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</si>
  <si>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</si>
  <si>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</si>
  <si>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</si>
  <si>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</si>
  <si>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</si>
  <si>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</si>
  <si>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</si>
  <si>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</si>
  <si>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</si>
  <si>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</si>
  <si>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</si>
  <si>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</si>
  <si>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</si>
  <si>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</si>
  <si>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</si>
  <si>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</si>
  <si>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</si>
  <si>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</si>
  <si>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</si>
  <si>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</si>
  <si>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</si>
  <si>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</si>
  <si>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</si>
  <si>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</si>
  <si>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</si>
  <si>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</si>
  <si>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</si>
  <si>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</si>
  <si>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</si>
  <si>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</si>
  <si>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</si>
  <si>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</si>
  <si>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</si>
  <si>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</si>
  <si>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</si>
  <si>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</si>
  <si>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</si>
  <si>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</si>
  <si>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</si>
  <si>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</si>
  <si>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</si>
  <si>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</si>
  <si>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</si>
  <si>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</si>
  <si>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</si>
  <si>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</si>
  <si>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</si>
  <si>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</si>
  <si>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</si>
  <si>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</si>
  <si>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</si>
  <si>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</si>
  <si>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</si>
  <si>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</si>
  <si>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</si>
  <si>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</si>
  <si>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</si>
  <si>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</si>
  <si>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</si>
  <si>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</si>
  <si>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</si>
  <si>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</si>
  <si>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</si>
  <si>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</si>
  <si>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</si>
  <si>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</si>
  <si>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</si>
  <si>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</si>
  <si>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</si>
  <si>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</si>
  <si>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</si>
  <si>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</si>
  <si>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</si>
  <si>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</si>
  <si>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</si>
  <si>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</si>
  <si>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</si>
  <si>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</si>
  <si>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</si>
  <si>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</si>
  <si>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</si>
  <si>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</si>
  <si>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</si>
  <si>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</si>
  <si>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</si>
  <si>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</si>
  <si>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</si>
  <si>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</si>
  <si>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</si>
  <si>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</si>
  <si>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</si>
  <si>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</si>
  <si>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</si>
  <si>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</si>
  <si>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</si>
  <si>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</si>
  <si>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</si>
  <si>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</si>
  <si>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</si>
  <si>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</si>
  <si>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</si>
  <si>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</si>
  <si>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</si>
  <si>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</si>
  <si>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</si>
  <si>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</si>
  <si>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</si>
  <si>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</si>
  <si>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</si>
  <si>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</si>
  <si>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</si>
  <si>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</si>
  <si>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</si>
  <si>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</si>
  <si>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</si>
  <si>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</si>
  <si>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</si>
  <si>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</si>
  <si>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</si>
  <si>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</si>
  <si>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</si>
  <si>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</si>
  <si>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</si>
  <si>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</si>
  <si>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</si>
  <si>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</si>
  <si>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</si>
  <si>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</si>
  <si>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</si>
  <si>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</si>
  <si>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</si>
  <si>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</si>
  <si>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</si>
  <si>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</si>
  <si>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</si>
  <si>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</si>
  <si>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</si>
  <si>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</si>
  <si>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</si>
  <si>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</si>
  <si>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</si>
  <si>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</si>
  <si>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</si>
  <si>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</si>
  <si>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</si>
  <si>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</si>
  <si>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</si>
  <si>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</si>
  <si>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</si>
  <si>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</si>
  <si>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</si>
  <si>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</si>
  <si>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</si>
  <si>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</si>
  <si>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</si>
  <si>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</si>
  <si>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</si>
  <si>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</si>
  <si>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</si>
  <si>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</si>
  <si>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</si>
  <si>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</si>
  <si>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</si>
  <si>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</si>
  <si>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</si>
  <si>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</si>
  <si>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</si>
  <si>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</si>
  <si>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</si>
  <si>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</si>
  <si>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</si>
  <si>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</si>
  <si>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</si>
  <si>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</si>
  <si>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</si>
  <si>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</si>
  <si>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</si>
  <si>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</si>
  <si>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</si>
  <si>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</si>
  <si>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</si>
  <si>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</si>
  <si>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</si>
  <si>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</si>
  <si>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</si>
  <si>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</si>
  <si>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</si>
  <si>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</si>
  <si>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</si>
  <si>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</si>
  <si>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</si>
  <si>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</si>
  <si>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</si>
  <si>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</si>
  <si>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</si>
  <si>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</si>
  <si>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</si>
  <si>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</si>
  <si>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</si>
  <si>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</si>
  <si>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</si>
  <si>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</si>
  <si>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</si>
  <si>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</si>
  <si>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</si>
  <si>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</si>
  <si>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</si>
  <si>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</si>
  <si>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</si>
  <si>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</si>
  <si>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</si>
  <si>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</si>
  <si>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</si>
  <si>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</si>
  <si>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</si>
  <si>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</si>
  <si>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</si>
  <si>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</si>
  <si>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</si>
  <si>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</si>
  <si>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</si>
  <si>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</si>
  <si>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</si>
  <si>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</si>
  <si>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</si>
  <si>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</si>
  <si>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</si>
  <si>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</si>
  <si>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</si>
  <si>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</si>
  <si>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</si>
  <si>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</si>
  <si>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</si>
  <si>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</si>
  <si>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</si>
  <si>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</si>
  <si>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</si>
  <si>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</si>
  <si>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</si>
  <si>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</si>
  <si>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</si>
  <si>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</si>
  <si>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</si>
  <si>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</si>
  <si>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</si>
  <si>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</si>
  <si>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</si>
  <si>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</si>
  <si>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</si>
  <si>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</si>
  <si>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</si>
  <si>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</si>
  <si>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</si>
  <si>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</si>
  <si>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</si>
  <si>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</si>
  <si>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</si>
  <si>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</si>
  <si>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</si>
  <si>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</si>
  <si>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</si>
  <si>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</si>
  <si>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</si>
  <si>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</si>
  <si>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</si>
  <si>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</si>
  <si>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</si>
  <si>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</si>
  <si>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</si>
  <si>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</si>
  <si>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</si>
  <si>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</si>
  <si>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</si>
  <si>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</si>
  <si>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</si>
  <si>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</si>
  <si>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</si>
  <si>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</si>
  <si>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</si>
  <si>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</si>
  <si>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</si>
  <si>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</si>
  <si>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</si>
  <si>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</si>
  <si>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</si>
  <si>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</si>
  <si>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</si>
  <si>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</si>
  <si>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</si>
  <si>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</si>
  <si>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</si>
  <si>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</si>
  <si>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</si>
  <si>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</si>
  <si>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</si>
  <si>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</si>
  <si>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</si>
  <si>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</si>
  <si>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</si>
  <si>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</si>
  <si>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</si>
  <si>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</si>
  <si>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</si>
  <si>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</si>
  <si>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</si>
  <si>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</si>
  <si>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</si>
  <si>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</si>
  <si>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</si>
  <si>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</si>
  <si>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</si>
  <si>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</si>
  <si>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</si>
  <si>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</si>
  <si>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</si>
  <si>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</si>
  <si>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</si>
  <si>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</si>
  <si>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</si>
  <si>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</si>
  <si>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</si>
  <si>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</si>
  <si>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</si>
  <si>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</si>
  <si>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</si>
  <si>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</si>
  <si>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</si>
  <si>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</si>
  <si>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</si>
  <si>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</si>
  <si>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</si>
  <si>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</si>
  <si>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</si>
  <si>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</si>
  <si>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</si>
  <si>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</si>
  <si>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</si>
  <si>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</si>
  <si>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</si>
  <si>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</si>
  <si>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</si>
  <si>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</si>
  <si>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</si>
  <si>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</si>
  <si>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</si>
  <si>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</si>
  <si>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</si>
  <si>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</si>
  <si>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</si>
  <si>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</si>
  <si>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</si>
  <si>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</si>
  <si>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</si>
  <si>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</si>
  <si>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</si>
  <si>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</si>
  <si>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</si>
  <si>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</si>
  <si>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</si>
  <si>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</si>
  <si>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</si>
  <si>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</si>
  <si>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</si>
  <si>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</si>
  <si>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</si>
  <si>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</si>
  <si>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</si>
  <si>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</si>
  <si>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</si>
  <si>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</si>
  <si>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</si>
  <si>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</si>
  <si>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</si>
  <si>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</si>
  <si>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</si>
  <si>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</si>
  <si>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</si>
  <si>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</si>
  <si>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</si>
  <si>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</si>
  <si>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</si>
  <si>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</si>
  <si>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</si>
  <si>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</si>
  <si>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</si>
  <si>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</si>
  <si>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</si>
  <si>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</si>
  <si>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</si>
  <si>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</si>
  <si>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</si>
  <si>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</si>
  <si>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</si>
  <si>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</si>
  <si>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</si>
  <si>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</si>
  <si>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</si>
  <si>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</si>
  <si>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</si>
  <si>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</si>
  <si>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</si>
  <si>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</si>
  <si>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</si>
  <si>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</si>
  <si>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</si>
  <si>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</si>
  <si>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</si>
  <si>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</si>
  <si>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</si>
  <si>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</si>
  <si>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</si>
  <si>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</si>
  <si>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</si>
  <si>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</si>
  <si>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</si>
  <si>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</si>
  <si>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</si>
  <si>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</si>
  <si>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</si>
  <si>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</si>
  <si>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</si>
  <si>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</si>
  <si>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</si>
  <si>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</si>
  <si>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</si>
  <si>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</si>
  <si>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</si>
  <si>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</si>
  <si>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</si>
  <si>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</si>
  <si>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</si>
  <si>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</si>
  <si>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</si>
  <si>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</si>
  <si>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</si>
  <si>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</si>
  <si>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</si>
  <si>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</si>
  <si>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</si>
  <si>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</si>
  <si>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</si>
  <si>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</si>
  <si>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</si>
  <si>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</si>
  <si>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</si>
  <si>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</si>
  <si>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</si>
  <si>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</si>
  <si>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</si>
  <si>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</si>
  <si>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</si>
  <si>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</si>
  <si>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</si>
  <si>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</si>
  <si>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</si>
  <si>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</si>
  <si>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</si>
  <si>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</si>
  <si>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</si>
  <si>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</si>
  <si>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</si>
  <si>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</si>
  <si>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</si>
  <si>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</si>
  <si>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</si>
  <si>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</si>
  <si>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</si>
  <si>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</si>
  <si>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</si>
  <si>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</si>
  <si>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</si>
  <si>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</si>
  <si>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</si>
  <si>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</si>
  <si>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</si>
  <si>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</si>
  <si>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</si>
  <si>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</si>
  <si>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</si>
  <si>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</si>
  <si>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</si>
  <si>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</si>
  <si>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</si>
  <si>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</si>
  <si>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</si>
  <si>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</si>
  <si>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</si>
  <si>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</si>
  <si>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</si>
  <si>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</si>
  <si>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</si>
  <si>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</si>
  <si>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</si>
  <si>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</si>
  <si>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</si>
  <si>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</si>
  <si>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</si>
  <si>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</si>
  <si>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</si>
  <si>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</si>
  <si>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</si>
  <si>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</si>
  <si>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</si>
  <si>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</si>
  <si>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</si>
  <si>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</si>
  <si>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</si>
  <si>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</si>
  <si>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</si>
  <si>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</si>
  <si>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</si>
  <si>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</si>
  <si>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</si>
  <si>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</si>
  <si>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</si>
  <si>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</si>
  <si>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</si>
  <si>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</si>
  <si>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</si>
  <si>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</si>
  <si>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</si>
  <si>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</si>
  <si>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</si>
  <si>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</si>
  <si>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</si>
  <si>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</si>
  <si>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</si>
  <si>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</si>
  <si>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</si>
  <si>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</si>
  <si>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</si>
  <si>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</si>
  <si>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</si>
  <si>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</si>
  <si>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</si>
  <si>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</si>
  <si>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</si>
  <si>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</si>
  <si>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</si>
  <si>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</si>
  <si>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</si>
  <si>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</si>
  <si>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</si>
  <si>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</si>
  <si>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</si>
  <si>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</si>
  <si>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</si>
  <si>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</si>
  <si>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</si>
  <si>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</si>
  <si>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</si>
  <si>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</si>
  <si>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</si>
  <si>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</si>
  <si>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</si>
  <si>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</si>
  <si>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</si>
  <si>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</si>
  <si>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</si>
  <si>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</si>
  <si>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</si>
  <si>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</si>
  <si>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</si>
  <si>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</si>
  <si>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</si>
  <si>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</si>
  <si>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</si>
  <si>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</si>
  <si>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</si>
  <si>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</si>
  <si>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</si>
  <si>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</si>
  <si>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</si>
  <si>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</si>
  <si>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</si>
  <si>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</si>
  <si>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</si>
  <si>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</si>
  <si>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</si>
  <si>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</si>
  <si>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</si>
  <si>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</si>
  <si>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</si>
  <si>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</si>
  <si>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</si>
  <si>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</si>
  <si>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</si>
  <si>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</si>
  <si>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</si>
  <si>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</si>
  <si>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</si>
  <si>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</si>
  <si>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</si>
  <si>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</si>
  <si>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</si>
  <si>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</si>
  <si>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</si>
  <si>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</si>
  <si>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</si>
  <si>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</si>
  <si>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</si>
  <si>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</si>
  <si>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</si>
  <si>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</si>
  <si>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</si>
  <si>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</si>
  <si>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</si>
  <si>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</si>
  <si>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</si>
  <si>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</si>
  <si>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</si>
  <si>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</si>
  <si>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</si>
  <si>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</si>
  <si>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</si>
  <si>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</si>
  <si>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</si>
  <si>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</si>
  <si>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</si>
  <si>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</si>
  <si>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</si>
  <si>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</si>
  <si>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</si>
  <si>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</si>
  <si>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</si>
  <si>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</si>
  <si>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</si>
  <si>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</si>
  <si>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</si>
  <si>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</si>
  <si>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</si>
  <si>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</si>
  <si>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</si>
  <si>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</si>
  <si>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</si>
  <si>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</si>
  <si>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</si>
  <si>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</si>
  <si>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</si>
  <si>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</si>
  <si>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</si>
  <si>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</si>
  <si>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</si>
  <si>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</si>
  <si>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</si>
  <si>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</si>
  <si>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</si>
  <si>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</si>
  <si>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</si>
  <si>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</si>
  <si>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</si>
  <si>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</si>
  <si>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</si>
  <si>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</si>
  <si>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</si>
  <si>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</si>
  <si>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</si>
  <si>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</si>
  <si>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</si>
  <si>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</si>
  <si>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</si>
  <si>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</si>
  <si>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</si>
  <si>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</si>
  <si>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</si>
  <si>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</si>
  <si>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</si>
  <si>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</si>
  <si>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</si>
  <si>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</si>
  <si>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</si>
  <si>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</si>
  <si>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</si>
  <si>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</si>
  <si>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</si>
  <si>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</si>
  <si>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</si>
  <si>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</si>
  <si>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</si>
  <si>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</si>
  <si>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</si>
  <si>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</si>
  <si>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</si>
  <si>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</si>
  <si>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</si>
  <si>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</si>
  <si>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</si>
  <si>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</si>
  <si>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</si>
  <si>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</si>
  <si>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</si>
  <si>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</si>
  <si>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</si>
  <si>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</si>
  <si>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</si>
  <si>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</si>
  <si>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</si>
  <si>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</si>
  <si>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</si>
  <si>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</si>
  <si>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</si>
  <si>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</si>
  <si>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</si>
  <si>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</si>
  <si>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</si>
  <si>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</si>
  <si>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</si>
  <si>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</si>
  <si>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</si>
  <si>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</si>
  <si>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</si>
  <si>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</si>
  <si>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</si>
  <si>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</si>
  <si>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</si>
  <si>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</si>
  <si>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</si>
  <si>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</si>
  <si>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</si>
  <si>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</si>
  <si>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</si>
  <si>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</si>
  <si>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</si>
  <si>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</si>
  <si>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</si>
  <si>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</si>
  <si>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</si>
  <si>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</si>
  <si>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</si>
  <si>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</si>
  <si>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</si>
  <si>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</si>
  <si>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</si>
  <si>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</si>
  <si>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</si>
  <si>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</si>
  <si>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</si>
  <si>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</si>
  <si>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</si>
  <si>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</si>
  <si>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</si>
  <si>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</si>
  <si>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</si>
  <si>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</si>
  <si>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</si>
  <si>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</si>
  <si>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</si>
  <si>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</si>
  <si>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</si>
  <si>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</si>
  <si>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</si>
  <si>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</si>
  <si>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</si>
  <si>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</si>
  <si>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</si>
  <si>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</si>
  <si>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</si>
  <si>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</si>
  <si>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</si>
  <si>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</si>
  <si>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</si>
  <si>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</si>
  <si>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</si>
  <si>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</si>
  <si>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</si>
  <si>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</si>
  <si>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</si>
  <si>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</si>
  <si>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</si>
  <si>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</si>
  <si>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</si>
  <si>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</si>
  <si>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</si>
  <si>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</si>
  <si>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</si>
  <si>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</si>
  <si>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</si>
  <si>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</si>
  <si>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</si>
  <si>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</si>
  <si>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</si>
  <si>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</si>
  <si>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</si>
  <si>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</si>
  <si>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</si>
  <si>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</si>
  <si>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</si>
  <si>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</si>
  <si>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</si>
  <si>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</si>
  <si>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</si>
  <si>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</si>
  <si>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</si>
  <si>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</si>
  <si>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</si>
  <si>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</si>
  <si>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</si>
  <si>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</si>
  <si>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</si>
  <si>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</si>
  <si>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</si>
  <si>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</si>
  <si>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</si>
  <si>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</si>
  <si>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</si>
  <si>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</si>
  <si>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</si>
  <si>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</si>
  <si>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</si>
  <si>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</si>
  <si>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</si>
  <si>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</si>
  <si>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</si>
  <si>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</si>
  <si>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</si>
  <si>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</si>
  <si>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</si>
  <si>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</si>
  <si>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</si>
  <si>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</si>
  <si>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</si>
  <si>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</si>
  <si>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</si>
  <si>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</si>
  <si>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</si>
  <si>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</si>
  <si>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</si>
  <si>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</si>
  <si>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</si>
  <si>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</si>
  <si>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</si>
  <si>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</si>
  <si>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</si>
  <si>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</si>
  <si>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</si>
  <si>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</si>
  <si>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</si>
  <si>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</si>
  <si>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</si>
  <si>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</si>
  <si>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</si>
  <si>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</si>
  <si>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</si>
  <si>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</si>
  <si>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</si>
  <si>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</si>
  <si>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</si>
  <si>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</si>
  <si>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</si>
  <si>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</si>
  <si>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</si>
  <si>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</si>
  <si>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</si>
  <si>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</si>
  <si>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</si>
  <si>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</si>
  <si>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</si>
  <si>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</si>
  <si>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</si>
  <si>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</si>
  <si>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</si>
  <si>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</si>
  <si>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</si>
  <si>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</si>
  <si>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</si>
  <si>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</si>
  <si>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</si>
  <si>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</si>
  <si>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</si>
  <si>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</si>
  <si>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</si>
  <si>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</si>
  <si>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</si>
  <si>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</si>
  <si>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</si>
  <si>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</si>
  <si>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</si>
  <si>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</si>
  <si>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</si>
  <si>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</si>
  <si>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</si>
  <si>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</si>
  <si>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</si>
  <si>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</si>
  <si>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</si>
  <si>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</si>
  <si>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</si>
  <si>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</si>
  <si>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</si>
  <si>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Avg.rating</t>
  </si>
  <si>
    <t>5*calls</t>
  </si>
  <si>
    <t>Row Labels</t>
  </si>
  <si>
    <t>Grand Total</t>
  </si>
  <si>
    <t>Jan</t>
  </si>
  <si>
    <t>Feb</t>
  </si>
  <si>
    <t>Mar</t>
  </si>
  <si>
    <t>Apr</t>
  </si>
  <si>
    <t>May</t>
  </si>
  <si>
    <t>Jun</t>
  </si>
  <si>
    <t>Jul</t>
  </si>
  <si>
    <t>Aug</t>
  </si>
  <si>
    <t>Sep</t>
  </si>
  <si>
    <t>Oct</t>
  </si>
  <si>
    <t>Nov</t>
  </si>
  <si>
    <t>Dec</t>
  </si>
  <si>
    <t>Count of Call number</t>
  </si>
  <si>
    <t>Call Count2</t>
  </si>
  <si>
    <t>Friday</t>
  </si>
  <si>
    <t>Monday</t>
  </si>
  <si>
    <t>Saturday</t>
  </si>
  <si>
    <t>Sunday</t>
  </si>
  <si>
    <t>Thursday</t>
  </si>
  <si>
    <t>Tuesday</t>
  </si>
  <si>
    <t>Wednesday</t>
  </si>
  <si>
    <t>for graph</t>
  </si>
  <si>
    <t>Rep</t>
  </si>
  <si>
    <t>Calls</t>
  </si>
  <si>
    <t>Amount</t>
  </si>
  <si>
    <t>Sel.Amount</t>
  </si>
  <si>
    <t>Sel.Calls</t>
  </si>
  <si>
    <t>selected rep</t>
  </si>
  <si>
    <t>Column Labels</t>
  </si>
  <si>
    <t>Total</t>
  </si>
  <si>
    <t>REP summary</t>
  </si>
  <si>
    <t>% of calls</t>
  </si>
  <si>
    <t>Amount rank</t>
  </si>
  <si>
    <t>Call rank</t>
  </si>
  <si>
    <t>labels</t>
  </si>
  <si>
    <t>image:</t>
  </si>
  <si>
    <t>CALL CENTER REPORT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</si>
</sst>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
    <numFmt numFmtId="166" formatCode="&quot;₹&quot;\ #,##0;#,##0\ \-&quot;₹&quot;;&quot;₹&quot;\ #,##0"/>
    <numFmt numFmtId="167" formatCode="&quot;₹&quot;\ #,##0"/>
    <numFmt numFmtId="168" formatCode="&quot;₹&quot;\ #,###.0,&quot;k&quot;"/>
  </numFmts>
  <fonts count="9" x14ac:knownFonts="1">
    <font>
      <sz val="11"/>
      <color theme="1"/>
      <name val="Aptos Narrow"/>
      <family val="2"/>
      <scheme val="minor"/>
    </font>
    <font>
      <b/>
      <sz val="11"/>
      <color theme="1"/>
      <name val="Aptos Narrow"/>
      <family val="2"/>
      <scheme val="minor"/>
    </font>
    <font>
      <sz val="8"/>
      <name val="Aptos Narrow"/>
      <family val="2"/>
      <scheme val="minor"/>
    </font>
    <font>
      <sz val="18"/>
      <color theme="1"/>
      <name val="Aptos ExtraBold"/>
      <family val="2"/>
    </font>
    <font>
      <sz val="10"/>
      <color theme="1"/>
      <name val="Aptos Narrow"/>
      <family val="2"/>
      <scheme val="minor"/>
    </font>
    <font>
      <b/>
      <sz val="10"/>
      <color theme="1"/>
      <name val="Aptos Narrow"/>
      <family val="2"/>
      <scheme val="minor"/>
    </font>
    <font>
      <sz val="11"/>
      <color theme="1" tint="0.499984740745262"/>
      <name val="Aptos Narrow"/>
      <family val="2"/>
      <scheme val="minor"/>
    </font>
    <font>
      <sz val="24"/>
      <color theme="0" tint="-0.499984740745262"/>
      <name val="ADLaM Display"/>
    </font>
    <font>
      <sz val="11"/>
      <color theme="0" tint="-0.499984740745262"/>
      <name val="Aptos Narrow"/>
      <family val="2"/>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9"/>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1">
    <xf numFmtId="0" fontId="0" fillId="0" borderId="0"/>
  </cellStyleXfs>
  <cellXfs count="46">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0" fillId="4" borderId="0" xfId="0" applyFill="1" applyAlignment="1">
      <alignment horizontal="left"/>
    </xf>
    <xf numFmtId="0" fontId="0" fillId="0" borderId="0" xfId="0" applyAlignment="1">
      <alignment horizontal="left" indent="1"/>
    </xf>
    <xf numFmtId="0" fontId="0" fillId="5" borderId="10" xfId="0" applyFill="1" applyBorder="1"/>
    <xf numFmtId="0" fontId="4" fillId="5" borderId="0" xfId="0" applyFont="1" applyFill="1"/>
    <xf numFmtId="0" fontId="4" fillId="5" borderId="14" xfId="0" applyFont="1" applyFill="1" applyBorder="1"/>
    <xf numFmtId="0" fontId="4" fillId="5" borderId="13" xfId="0" applyFont="1" applyFill="1" applyBorder="1" applyAlignment="1">
      <alignment horizontal="left" indent="1"/>
    </xf>
    <xf numFmtId="167" fontId="4" fillId="5" borderId="0" xfId="0" applyNumberFormat="1" applyFont="1" applyFill="1"/>
    <xf numFmtId="167" fontId="4" fillId="5" borderId="14" xfId="0" applyNumberFormat="1" applyFont="1" applyFill="1" applyBorder="1"/>
    <xf numFmtId="0" fontId="4" fillId="5" borderId="15" xfId="0" applyFont="1" applyFill="1" applyBorder="1" applyAlignment="1">
      <alignment horizontal="left" indent="1"/>
    </xf>
    <xf numFmtId="167" fontId="4" fillId="5" borderId="16" xfId="0" applyNumberFormat="1" applyFont="1" applyFill="1" applyBorder="1"/>
    <xf numFmtId="167" fontId="4" fillId="5" borderId="17" xfId="0" applyNumberFormat="1" applyFont="1" applyFill="1" applyBorder="1"/>
    <xf numFmtId="0" fontId="1" fillId="5" borderId="11" xfId="0" applyFont="1" applyFill="1" applyBorder="1"/>
    <xf numFmtId="0" fontId="1" fillId="5" borderId="12" xfId="0" applyFont="1" applyFill="1" applyBorder="1"/>
    <xf numFmtId="0" fontId="5" fillId="5" borderId="13" xfId="0" applyFont="1" applyFill="1" applyBorder="1"/>
    <xf numFmtId="0" fontId="7" fillId="3" borderId="0" xfId="0" applyFont="1" applyFill="1" applyAlignment="1">
      <alignment horizontal="left"/>
    </xf>
    <xf numFmtId="0" fontId="8" fillId="3" borderId="0" xfId="0" applyFont="1" applyFill="1" applyAlignment="1">
      <alignment horizontal="left"/>
    </xf>
    <xf numFmtId="0" fontId="0" fillId="3" borderId="0" xfId="0" applyFill="1" applyAlignment="1">
      <alignment horizontal="center"/>
    </xf>
    <xf numFmtId="0" fontId="0" fillId="3" borderId="14" xfId="0" applyFill="1" applyBorder="1" applyAlignment="1">
      <alignment horizontal="center"/>
    </xf>
    <xf numFmtId="0" fontId="6" fillId="3" borderId="0" xfId="0" applyFont="1" applyFill="1" applyAlignment="1">
      <alignment horizontal="center"/>
    </xf>
  </cellXfs>
  <cellStyles count="1">
    <cellStyle name="Normal" xfId="0" builtinId="0"/>
  </cellStyles>
  <dxfs count="19">
    <dxf>
      <fill>
        <patternFill>
          <bgColor theme="8" tint="0.39994506668294322"/>
        </patternFill>
      </fill>
      <border>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9"/>
        </patternFill>
      </fill>
    </dxf>
    <dxf>
      <font>
        <b/>
        <color theme="1"/>
      </font>
      <border>
        <left style="thin">
          <color theme="8"/>
        </left>
        <right style="thin">
          <color theme="8"/>
        </right>
        <top style="thin">
          <color theme="8"/>
        </top>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8"/>
    </tableStyle>
    <tableStyle name="SlicerStyleDark5 2" pivot="0" table="0" count="10" xr9:uid="{905EC178-6FEF-4A28-8370-BAA1407B74D2}">
      <tableStyleElement type="wholeTable" dxfId="17"/>
      <tableStyleElement type="headerRow" dxfId="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sz val="12"/>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[excel-portfolio-project.xlsx]pivot!weekly trend</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0.31629747653141216"/>
              <c:y val="4.9490539707974643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EB73FF-6224-4C4A-B74D-72D432A4F4FB}" type="VALUE">
                  <a:rPr lang="en-US" sz="900" b="0" i="0" u="none" strike="noStrike" kern="1200" baseline="0">
                    <a:solidFill>
                      <a:schemeClr val="tx1">
                        <a:lumMod val="75000"/>
                        <a:lumOff val="25000"/>
                      </a:schemeClr>
                    </a:solidFill>
                    <a:latin typeface="+mn-lt"/>
                    <a:ea typeface="+mn-ea"/>
                    <a:cs typeface="+mn-cs"/>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5"/>
          </a:solidFill>
          <a:ln>
            <a:noFill/>
          </a:ln>
          <a:effectLst/>
        </c:spPr>
        <c:dLbl>
          <c:idx val="0"/>
          <c:layout>
            <c:manualLayout>
              <c:x val="0.3123437580747695"/>
              <c:y val="9.898497630883967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dLbl>
          <c:idx val="0"/>
          <c:layout>
            <c:manualLayout>
              <c:x val="0.32025119498805465"/>
              <c:y val="4.949053970797464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dLbl>
          <c:idx val="0"/>
          <c:layout>
            <c:manualLayout>
              <c:x val="0.31629747653141199"/>
              <c:y val="2.47456595432763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dLbl>
          <c:idx val="0"/>
          <c:layout>
            <c:manualLayout>
              <c:x val="0.32420491344469732"/>
              <c:y val="9.89810794159492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dLbl>
          <c:idx val="0"/>
          <c:layout>
            <c:manualLayout>
              <c:x val="0.28862144733491341"/>
              <c:y val="9.898107941594928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dLbl>
          <c:idx val="0"/>
          <c:layout>
            <c:manualLayout>
              <c:x val="0.2925751657915562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pivot!$J$20</c:f>
              <c:strCache>
                <c:ptCount val="1"/>
                <c:pt idx="0">
                  <c:v>Total</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5-0BFC-498D-93FD-336146824B82}"/>
              </c:ext>
            </c:extLst>
          </c:dPt>
          <c:dPt>
            <c:idx val="1"/>
            <c:invertIfNegative val="0"/>
            <c:bubble3D val="0"/>
            <c:extLst>
              <c:ext xmlns:c16="http://schemas.microsoft.com/office/drawing/2014/chart" uri="{C3380CC4-5D6E-409C-BE32-E72D297353CC}">
                <c16:uniqueId val="{00000006-0BFC-498D-93FD-336146824B82}"/>
              </c:ext>
            </c:extLst>
          </c:dPt>
          <c:dPt>
            <c:idx val="2"/>
            <c:invertIfNegative val="0"/>
            <c:bubble3D val="0"/>
            <c:extLst>
              <c:ext xmlns:c16="http://schemas.microsoft.com/office/drawing/2014/chart" uri="{C3380CC4-5D6E-409C-BE32-E72D297353CC}">
                <c16:uniqueId val="{00000008-0BFC-498D-93FD-336146824B82}"/>
              </c:ext>
            </c:extLst>
          </c:dPt>
          <c:dPt>
            <c:idx val="3"/>
            <c:invertIfNegative val="0"/>
            <c:bubble3D val="0"/>
            <c:extLst>
              <c:ext xmlns:c16="http://schemas.microsoft.com/office/drawing/2014/chart" uri="{C3380CC4-5D6E-409C-BE32-E72D297353CC}">
                <c16:uniqueId val="{00000009-0BFC-498D-93FD-336146824B82}"/>
              </c:ext>
            </c:extLst>
          </c:dPt>
          <c:dPt>
            <c:idx val="4"/>
            <c:invertIfNegative val="0"/>
            <c:bubble3D val="0"/>
            <c:extLst>
              <c:ext xmlns:c16="http://schemas.microsoft.com/office/drawing/2014/chart" uri="{C3380CC4-5D6E-409C-BE32-E72D297353CC}">
                <c16:uniqueId val="{0000000A-0BFC-498D-93FD-336146824B82}"/>
              </c:ext>
            </c:extLst>
          </c:dPt>
          <c:dPt>
            <c:idx val="5"/>
            <c:invertIfNegative val="0"/>
            <c:bubble3D val="0"/>
            <c:extLst>
              <c:ext xmlns:c16="http://schemas.microsoft.com/office/drawing/2014/chart" uri="{C3380CC4-5D6E-409C-BE32-E72D297353CC}">
                <c16:uniqueId val="{0000000B-0BFC-498D-93FD-336146824B82}"/>
              </c:ext>
            </c:extLst>
          </c:dPt>
          <c:dPt>
            <c:idx val="6"/>
            <c:invertIfNegative val="0"/>
            <c:bubble3D val="0"/>
            <c:extLst>
              <c:ext xmlns:c16="http://schemas.microsoft.com/office/drawing/2014/chart" uri="{C3380CC4-5D6E-409C-BE32-E72D297353CC}">
                <c16:uniqueId val="{00000007-0BFC-498D-93FD-336146824B82}"/>
              </c:ext>
            </c:extLst>
          </c:dPt>
          <c:dLbls>
            <c:dLbl>
              <c:idx val="0"/>
              <c:layout>
                <c:manualLayout>
                  <c:x val="0.31629747653141216"/>
                  <c:y val="4.9490539707974643E-3"/>
                </c:manualLayout>
              </c:layout>
              <c:tx>
                <c:rich>
                  <a:bodyPr/>
                  <a:lstStyle/>
                  <a:p>
                    <a:fld id="{FCEB73FF-6224-4C4A-B74D-72D432A4F4FB}" type="VALUE">
                      <a:rPr lang="en-US" sz="900" b="0" i="0" u="none" strike="noStrike" kern="1200" baseline="0">
                        <a:solidFill>
                          <a:schemeClr val="tx1">
                            <a:lumMod val="75000"/>
                            <a:lumOff val="25000"/>
                          </a:schemeClr>
                        </a:solidFill>
                        <a:latin typeface="+mn-lt"/>
                        <a:ea typeface="+mn-ea"/>
                        <a:cs typeface="+mn-cs"/>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BFC-498D-93FD-336146824B82}"/>
                </c:ext>
              </c:extLst>
            </c:dLbl>
            <c:dLbl>
              <c:idx val="1"/>
              <c:layout>
                <c:manualLayout>
                  <c:x val="0.3123437580747695"/>
                  <c:y val="9.898497630883967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FC-498D-93FD-336146824B82}"/>
                </c:ext>
              </c:extLst>
            </c:dLbl>
            <c:dLbl>
              <c:idx val="2"/>
              <c:layout>
                <c:manualLayout>
                  <c:x val="0.31629747653141199"/>
                  <c:y val="2.474565954327636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FC-498D-93FD-336146824B82}"/>
                </c:ext>
              </c:extLst>
            </c:dLbl>
            <c:dLbl>
              <c:idx val="3"/>
              <c:layout>
                <c:manualLayout>
                  <c:x val="0.32420491344469732"/>
                  <c:y val="9.898107941594928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FC-498D-93FD-336146824B82}"/>
                </c:ext>
              </c:extLst>
            </c:dLbl>
            <c:dLbl>
              <c:idx val="4"/>
              <c:layout>
                <c:manualLayout>
                  <c:x val="0.28862144733491341"/>
                  <c:y val="9.898107941594928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FC-498D-93FD-336146824B82}"/>
                </c:ext>
              </c:extLst>
            </c:dLbl>
            <c:dLbl>
              <c:idx val="5"/>
              <c:layout>
                <c:manualLayout>
                  <c:x val="0.2925751657915562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FC-498D-93FD-336146824B82}"/>
                </c:ext>
              </c:extLst>
            </c:dLbl>
            <c:dLbl>
              <c:idx val="6"/>
              <c:layout>
                <c:manualLayout>
                  <c:x val="0.32025119498805465"/>
                  <c:y val="4.94905397079746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FC-498D-93FD-336146824B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pivot!$I$21:$I$28</c:f>
              <c:strCache>
                <c:ptCount val="7"/>
                <c:pt idx="0">
                  <c:v>Sunday</c:v>
                </c:pt>
                <c:pt idx="1">
                  <c:v>Monday</c:v>
                </c:pt>
                <c:pt idx="2">
                  <c:v>Tuesday</c:v>
                </c:pt>
                <c:pt idx="3">
                  <c:v>Wednesday</c:v>
                </c:pt>
                <c:pt idx="4">
                  <c:v>Thursday</c:v>
                </c:pt>
                <c:pt idx="5">
                  <c:v>Friday</c:v>
                </c:pt>
                <c:pt idx="6">
                  <c:v>Saturday</c:v>
                </c:pt>
              </c:strCache>
            </c:strRef>
          </c:cat>
          <c:val>
            <c:numRef>
              <c:f>pivot!$J$21:$J$28</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0BFC-498D-93FD-336146824B82}"/>
            </c:ext>
          </c:extLst>
        </c:ser>
        <c:dLbls>
          <c:dLblPos val="ctr"/>
          <c:showLegendKey val="0"/>
          <c:showVal val="1"/>
          <c:showCatName val="0"/>
          <c:showSerName val="0"/>
          <c:showPercent val="0"/>
          <c:showBubbleSize val="0"/>
        </c:dLbls>
        <c:gapWidth val="25"/>
        <c:overlap val="100"/>
        <c:axId val="2077484016"/>
        <c:axId val="2077490736"/>
      </c:barChart>
      <c:catAx>
        <c:axId val="2077484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490736"/>
        <c:crosses val="autoZero"/>
        <c:auto val="1"/>
        <c:lblAlgn val="ctr"/>
        <c:lblOffset val="100"/>
        <c:noMultiLvlLbl val="0"/>
      </c:catAx>
      <c:valAx>
        <c:axId val="2077490736"/>
        <c:scaling>
          <c:orientation val="minMax"/>
        </c:scaling>
        <c:delete val="1"/>
        <c:axPos val="b"/>
        <c:numFmt formatCode="#,##0" sourceLinked="1"/>
        <c:majorTickMark val="out"/>
        <c:minorTickMark val="none"/>
        <c:tickLblPos val="nextTo"/>
        <c:crossAx val="2077484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[excel-portfolio-project.xlsx]pivot!Monthly trend</c:name>
    <c:fmtId val="5"/>
  </c:pivotSource>
  <c:chart>
    <c:title>
      <c:tx>
        <c:rich>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r>
              <a:rPr lang="en-IN" sz="1600" b="1">
                <a:solidFill>
                  <a:schemeClr val="accent5"/>
                </a:solidFill>
                <a:latin typeface="+mn-lt"/>
              </a:rPr>
              <a:t>Call</a:t>
            </a:r>
            <a:r>
              <a:rPr lang="en-IN" sz="1600" b="1" baseline="0">
                <a:solidFill>
                  <a:schemeClr val="accent5"/>
                </a:solidFill>
                <a:latin typeface="+mn-lt"/>
              </a:rPr>
              <a:t> Trend</a:t>
            </a:r>
            <a:endParaRPr lang="en-IN" sz="1600" b="1">
              <a:solidFill>
                <a:schemeClr val="accent5"/>
              </a:solidFill>
              <a:latin typeface="+mn-lt"/>
            </a:endParaRPr>
          </a:p>
        </c:rich>
      </c:tx>
      <c:layout>
        <c:manualLayout>
          <c:xMode val="edge"/>
          <c:yMode val="edge"/>
          <c:x val="4.0632028021986295E-2"/>
          <c:y val="3.26923010918027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99000">
                <a:srgbClr val="BDC6EB"/>
              </a:gs>
              <a:gs pos="98000">
                <a:schemeClr val="accent6"/>
              </a:gs>
              <a:gs pos="8000">
                <a:schemeClr val="accent6">
                  <a:lumMod val="50000"/>
                  <a:lumOff val="5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lumMod val="65000"/>
                  <a:lumOff val="3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7"/>
          <c:spPr>
            <a:solidFill>
              <a:schemeClr val="bg1"/>
            </a:solidFill>
            <a:ln w="25400">
              <a:solidFill>
                <a:schemeClr val="tx1">
                  <a:lumMod val="65000"/>
                  <a:lumOff val="35000"/>
                </a:schemeClr>
              </a:solidFill>
            </a:ln>
            <a:effectLst/>
          </c:spPr>
        </c:marker>
      </c:pivotFmt>
    </c:pivotFmts>
    <c:plotArea>
      <c:layout/>
      <c:areaChart>
        <c:grouping val="standard"/>
        <c:varyColors val="0"/>
        <c:ser>
          <c:idx val="1"/>
          <c:order val="1"/>
          <c:tx>
            <c:strRef>
              <c:f>pivot!$C$19</c:f>
              <c:strCache>
                <c:ptCount val="1"/>
                <c:pt idx="0">
                  <c:v>Call Count2</c:v>
                </c:pt>
              </c:strCache>
            </c:strRef>
          </c:tx>
          <c:spPr>
            <a:gradFill flip="none" rotWithShape="1">
              <a:gsLst>
                <a:gs pos="99000">
                  <a:srgbClr val="BDC6EB"/>
                </a:gs>
                <a:gs pos="98000">
                  <a:schemeClr val="accent6"/>
                </a:gs>
                <a:gs pos="8000">
                  <a:schemeClr val="accent6">
                    <a:lumMod val="50000"/>
                    <a:lumOff val="50000"/>
                  </a:schemeClr>
                </a:gs>
              </a:gsLst>
              <a:lin ang="16200000" scaled="1"/>
              <a:tileRect/>
            </a:gradFill>
            <a:ln>
              <a:noFill/>
            </a:ln>
            <a:effectLst/>
          </c:spPr>
          <c:cat>
            <c:strRef>
              <c:f>pivot!$A$20:$A$32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pivot!$C$20:$C$32</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9880-424C-9A36-89548FF7BF7E}"/>
            </c:ext>
          </c:extLst>
        </c:ser>
        <c:dLbls>
          <c:showLegendKey val="0"/>
          <c:showVal val="0"/>
          <c:showCatName val="0"/>
          <c:showSerName val="0"/>
          <c:showPercent val="0"/>
          <c:showBubbleSize val="0"/>
        </c:dLbls>
        <c:axId val="2077434096"/>
        <c:axId val="2077438416"/>
      </c:areaChart>
      <c:lineChart>
        <c:grouping val="standard"/>
        <c:varyColors val="0"/>
        <c:ser>
          <c:idx val="0"/>
          <c:order val="0"/>
          <c:tx>
            <c:strRef>
              <c:f>pivot!$B$19</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lumMod val="65000"/>
                    <a:lumOff val="35000"/>
                  </a:schemeClr>
                </a:solidFill>
              </a:ln>
              <a:effectLst/>
            </c:spPr>
          </c:marker>
          <c:cat>
            <c:strRef>
              <c:f>pivot!$A$20:$A$32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pivot!$B$20:$B$32</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9880-424C-9A36-89548FF7BF7E}"/>
            </c:ext>
          </c:extLst>
        </c:ser>
        <c:dLbls>
          <c:showLegendKey val="0"/>
          <c:showVal val="0"/>
          <c:showCatName val="0"/>
          <c:showSerName val="0"/>
          <c:showPercent val="0"/>
          <c:showBubbleSize val="0"/>
        </c:dLbls>
        <c:marker val="1"/>
        <c:smooth val="0"/>
        <c:axId val="2077434096"/>
        <c:axId val="2077438416"/>
      </c:lineChart>
      <c:catAx>
        <c:axId val="207743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438416"/>
        <c:crosses val="autoZero"/>
        <c:auto val="1"/>
        <c:lblAlgn val="ctr"/>
        <c:lblOffset val="100"/>
        <c:noMultiLvlLbl val="0"/>
      </c:catAx>
      <c:valAx>
        <c:axId val="2077438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43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5"/>
                </a:solidFill>
              </a:rPr>
              <a:t>Amount</a:t>
            </a:r>
          </a:p>
        </c:rich>
      </c:tx>
      <c:layout>
        <c:manualLayout>
          <c:xMode val="edge"/>
          <c:yMode val="edge"/>
          <c:x val="3.8390857101370801E-2"/>
          <c:y val="2.8132386135828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pivot!$G$38:$G$42</c:f>
              <c:strCache>
                <c:ptCount val="5"/>
                <c:pt idx="0">
                  <c:v>R01</c:v>
                </c:pt>
                <c:pt idx="1">
                  <c:v>R02</c:v>
                </c:pt>
                <c:pt idx="2">
                  <c:v>R03</c:v>
                </c:pt>
                <c:pt idx="3">
                  <c:v>R04</c:v>
                </c:pt>
                <c:pt idx="4">
                  <c:v>R05</c:v>
                </c:pt>
              </c:strCache>
            </c:strRef>
          </c:cat>
          <c:val>
            <c:numRef>
              <c:f>pivot!$I$38:$I$42</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D87F-469C-8D59-7C218EB1AF8C}"/>
            </c:ext>
          </c:extLst>
        </c:ser>
        <c:ser>
          <c:idx val="1"/>
          <c:order val="1"/>
          <c:tx>
            <c:strRef>
              <c:f>pivot!$K$37</c:f>
              <c:strCache>
                <c:ptCount val="1"/>
                <c:pt idx="0">
                  <c:v>Sel.Amount</c:v>
                </c:pt>
              </c:strCache>
            </c:strRef>
          </c:tx>
          <c:spPr>
            <a:gradFill>
              <a:gsLst>
                <a:gs pos="99000">
                  <a:srgbClr val="BDC6EB"/>
                </a:gs>
                <a:gs pos="98000">
                  <a:schemeClr val="accent6"/>
                </a:gs>
                <a:gs pos="2000">
                  <a:schemeClr val="accent6">
                    <a:lumMod val="60000"/>
                    <a:lumOff val="40000"/>
                  </a:schemeClr>
                </a:gs>
              </a:gsLst>
              <a:lin ang="16200000" scaled="1"/>
            </a:gradFill>
            <a:ln>
              <a:noFill/>
            </a:ln>
            <a:effectLst/>
          </c:spPr>
          <c:invertIfNegative val="0"/>
          <c:val>
            <c:numRef>
              <c:f>pivot!$K$38:$K$42</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D87F-469C-8D59-7C218EB1AF8C}"/>
            </c:ext>
          </c:extLst>
        </c:ser>
        <c:dLbls>
          <c:showLegendKey val="0"/>
          <c:showVal val="0"/>
          <c:showCatName val="0"/>
          <c:showSerName val="0"/>
          <c:showPercent val="0"/>
          <c:showBubbleSize val="0"/>
        </c:dLbls>
        <c:gapWidth val="25"/>
        <c:overlap val="100"/>
        <c:axId val="685149552"/>
        <c:axId val="685152912"/>
      </c:barChart>
      <c:catAx>
        <c:axId val="685149552"/>
        <c:scaling>
          <c:orientation val="maxMin"/>
        </c:scaling>
        <c:delete val="1"/>
        <c:axPos val="l"/>
        <c:numFmt formatCode="General" sourceLinked="1"/>
        <c:majorTickMark val="none"/>
        <c:minorTickMark val="none"/>
        <c:tickLblPos val="nextTo"/>
        <c:crossAx val="685152912"/>
        <c:crosses val="autoZero"/>
        <c:auto val="1"/>
        <c:lblAlgn val="ctr"/>
        <c:lblOffset val="100"/>
        <c:noMultiLvlLbl val="0"/>
      </c:catAx>
      <c:valAx>
        <c:axId val="685152912"/>
        <c:scaling>
          <c:orientation val="minMax"/>
        </c:scaling>
        <c:delete val="1"/>
        <c:axPos val="t"/>
        <c:majorGridlines>
          <c:spPr>
            <a:ln w="9525" cap="flat" cmpd="sng" algn="ctr">
              <a:noFill/>
              <a:round/>
            </a:ln>
            <a:effectLst/>
          </c:spPr>
        </c:majorGridlines>
        <c:numFmt formatCode="&quot;₹&quot;\ #,###.0,&quot;k&quot;" sourceLinked="1"/>
        <c:majorTickMark val="none"/>
        <c:minorTickMark val="none"/>
        <c:tickLblPos val="nextTo"/>
        <c:crossAx val="68514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accent5"/>
                </a:solidFill>
              </a:rPr>
              <a:t>Calls</a:t>
            </a:r>
          </a:p>
        </c:rich>
      </c:tx>
      <c:layout>
        <c:manualLayout>
          <c:xMode val="edge"/>
          <c:yMode val="edge"/>
          <c:x val="7.3812605616078775E-2"/>
          <c:y val="3.636362479483821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pivot!$G$38:$G$42</c:f>
              <c:strCache>
                <c:ptCount val="5"/>
                <c:pt idx="0">
                  <c:v>R01</c:v>
                </c:pt>
                <c:pt idx="1">
                  <c:v>R02</c:v>
                </c:pt>
                <c:pt idx="2">
                  <c:v>R03</c:v>
                </c:pt>
                <c:pt idx="3">
                  <c:v>R04</c:v>
                </c:pt>
                <c:pt idx="4">
                  <c:v>R05</c:v>
                </c:pt>
              </c:strCache>
            </c:strRef>
          </c:cat>
          <c:val>
            <c:numRef>
              <c:f>pivot!$H$38:$H$42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6EBF-4F47-B402-701B22041492}"/>
            </c:ext>
          </c:extLst>
        </c:ser>
        <c:ser>
          <c:idx val="1"/>
          <c:order val="1"/>
          <c:tx>
            <c:strRef>
              <c:f>pivot!$J$37</c:f>
              <c:strCache>
                <c:ptCount val="1"/>
                <c:pt idx="0">
                  <c:v>Sel.Calls</c:v>
                </c:pt>
              </c:strCache>
            </c:strRef>
          </c:tx>
          <c:spPr>
            <a:gradFill>
              <a:gsLst>
                <a:gs pos="99000">
                  <a:srgbClr val="BDC6EB"/>
                </a:gs>
                <a:gs pos="98000">
                  <a:schemeClr val="accent6"/>
                </a:gs>
                <a:gs pos="8000">
                  <a:schemeClr val="accent5"/>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pivot!$J$38:$J$42</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6EBF-4F47-B402-701B22041492}"/>
            </c:ext>
          </c:extLst>
        </c:ser>
        <c:dLbls>
          <c:dLblPos val="outEnd"/>
          <c:showLegendKey val="0"/>
          <c:showVal val="1"/>
          <c:showCatName val="0"/>
          <c:showSerName val="0"/>
          <c:showPercent val="0"/>
          <c:showBubbleSize val="0"/>
        </c:dLbls>
        <c:gapWidth val="25"/>
        <c:overlap val="100"/>
        <c:axId val="685149552"/>
        <c:axId val="685152912"/>
      </c:barChart>
      <c:catAx>
        <c:axId val="6851495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152912"/>
        <c:crosses val="autoZero"/>
        <c:auto val="1"/>
        <c:lblAlgn val="ctr"/>
        <c:lblOffset val="100"/>
        <c:noMultiLvlLbl val="0"/>
      </c:catAx>
      <c:valAx>
        <c:axId val="685152912"/>
        <c:scaling>
          <c:orientation val="minMax"/>
          <c:min val="0"/>
        </c:scaling>
        <c:delete val="1"/>
        <c:axPos val="t"/>
        <c:majorGridlines>
          <c:spPr>
            <a:ln w="9525" cap="flat" cmpd="sng" algn="ctr">
              <a:noFill/>
              <a:round/>
            </a:ln>
            <a:effectLst/>
          </c:spPr>
        </c:majorGridlines>
        <c:numFmt formatCode="General" sourceLinked="1"/>
        <c:majorTickMark val="none"/>
        <c:minorTickMark val="none"/>
        <c:tickLblPos val="nextTo"/>
        <c:crossAx val="68514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solidFill>
              </a:rPr>
              <a:t>Female</a:t>
            </a:r>
            <a:r>
              <a:rPr lang="en-IN" b="1" baseline="0">
                <a:solidFill>
                  <a:schemeClr val="accent5"/>
                </a:solidFill>
              </a:rPr>
              <a:t> </a:t>
            </a:r>
            <a:r>
              <a:rPr lang="en-IN" b="1" baseline="0">
                <a:solidFill>
                  <a:sysClr val="windowText" lastClr="000000"/>
                </a:solidFill>
              </a:rPr>
              <a:t>vs</a:t>
            </a:r>
            <a:r>
              <a:rPr lang="en-IN" b="1" baseline="0">
                <a:solidFill>
                  <a:schemeClr val="accent5"/>
                </a:solidFill>
              </a:rPr>
              <a:t> </a:t>
            </a:r>
            <a:r>
              <a:rPr lang="en-IN" b="1" baseline="0">
                <a:solidFill>
                  <a:schemeClr val="accent4">
                    <a:lumMod val="60000"/>
                    <a:lumOff val="40000"/>
                  </a:schemeClr>
                </a:solidFill>
              </a:rPr>
              <a:t>Male</a:t>
            </a:r>
            <a:r>
              <a:rPr lang="en-IN" b="1" baseline="0">
                <a:solidFill>
                  <a:schemeClr val="accent5"/>
                </a:solidFill>
              </a:rPr>
              <a:t> </a:t>
            </a:r>
            <a:r>
              <a:rPr lang="en-IN" b="1" baseline="0">
                <a:solidFill>
                  <a:sysClr val="windowText" lastClr="000000"/>
                </a:solidFill>
              </a:rPr>
              <a:t>Callers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accent5">
                <a:lumMod val="60000"/>
                <a:lumOff val="40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solidFill>
              <a:schemeClr val="accent4">
                <a:lumMod val="20000"/>
                <a:lumOff val="80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pivot!$C$54:$C$55</c:f>
              <c:strCache>
                <c:ptCount val="1"/>
                <c:pt idx="0">
                  <c:v>Female</c:v>
                </c:pt>
              </c:strCache>
            </c:strRef>
          </c:tx>
          <c:spPr>
            <a:solidFill>
              <a:schemeClr val="accent5"/>
            </a:solidFill>
            <a:ln>
              <a:noFill/>
            </a:ln>
            <a:effectLst/>
          </c:spPr>
          <c:invertIfNegative val="0"/>
          <c:dLbls>
            <c:spPr>
              <a:solidFill>
                <a:schemeClr val="accent5">
                  <a:lumMod val="60000"/>
                  <a:lumOff val="40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pivot!$B$56:$B$59</c:f>
              <c:strCache>
                <c:ptCount val="3"/>
                <c:pt idx="0">
                  <c:v>Cincinnati</c:v>
                </c:pt>
                <c:pt idx="1">
                  <c:v>Cleveland</c:v>
                </c:pt>
                <c:pt idx="2">
                  <c:v>Columbus</c:v>
                </c:pt>
              </c:strCache>
            </c:strRef>
          </c:cat>
          <c:val>
            <c:numRef>
              <c:f>pivot!$C$56:$C$59</c:f>
              <c:numCache>
                <c:formatCode>#,##0</c:formatCode>
                <c:ptCount val="3"/>
                <c:pt idx="0">
                  <c:v>144</c:v>
                </c:pt>
                <c:pt idx="1">
                  <c:v>326</c:v>
                </c:pt>
                <c:pt idx="2">
                  <c:v>129</c:v>
                </c:pt>
              </c:numCache>
            </c:numRef>
          </c:val>
          <c:extLst>
            <c:ext xmlns:c16="http://schemas.microsoft.com/office/drawing/2014/chart" uri="{C3380CC4-5D6E-409C-BE32-E72D297353CC}">
              <c16:uniqueId val="{00000000-08B0-423F-915A-0C5D8C7F149D}"/>
            </c:ext>
          </c:extLst>
        </c:ser>
        <c:ser>
          <c:idx val="1"/>
          <c:order val="1"/>
          <c:tx>
            <c:strRef>
              <c:f>pivot!$D$54:$D$55</c:f>
              <c:strCache>
                <c:ptCount val="1"/>
                <c:pt idx="0">
                  <c:v>Male</c:v>
                </c:pt>
              </c:strCache>
            </c:strRef>
          </c:tx>
          <c:spPr>
            <a:solidFill>
              <a:schemeClr val="accent4">
                <a:lumMod val="60000"/>
                <a:lumOff val="40000"/>
              </a:schemeClr>
            </a:solidFill>
            <a:ln>
              <a:noFill/>
            </a:ln>
            <a:effectLst/>
          </c:spPr>
          <c:invertIfNegative val="0"/>
          <c:dLbls>
            <c:spPr>
              <a:solidFill>
                <a:schemeClr val="accent4">
                  <a:lumMod val="20000"/>
                  <a:lumOff val="80000"/>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pivot!$B$56:$B$59</c:f>
              <c:strCache>
                <c:ptCount val="3"/>
                <c:pt idx="0">
                  <c:v>Cincinnati</c:v>
                </c:pt>
                <c:pt idx="1">
                  <c:v>Cleveland</c:v>
                </c:pt>
                <c:pt idx="2">
                  <c:v>Columbus</c:v>
                </c:pt>
              </c:strCache>
            </c:strRef>
          </c:cat>
          <c:val>
            <c:numRef>
              <c:f>pivot!$D$56:$D$59</c:f>
              <c:numCache>
                <c:formatCode>#,##0</c:formatCode>
                <c:ptCount val="3"/>
                <c:pt idx="0">
                  <c:v>132</c:v>
                </c:pt>
                <c:pt idx="1">
                  <c:v>63</c:v>
                </c:pt>
                <c:pt idx="2">
                  <c:v>206</c:v>
                </c:pt>
              </c:numCache>
            </c:numRef>
          </c:val>
          <c:extLst>
            <c:ext xmlns:c16="http://schemas.microsoft.com/office/drawing/2014/chart" uri="{C3380CC4-5D6E-409C-BE32-E72D297353CC}">
              <c16:uniqueId val="{00000001-08B0-423F-915A-0C5D8C7F149D}"/>
            </c:ext>
          </c:extLst>
        </c:ser>
        <c:dLbls>
          <c:dLblPos val="ctr"/>
          <c:showLegendKey val="0"/>
          <c:showVal val="1"/>
          <c:showCatName val="0"/>
          <c:showSerName val="0"/>
          <c:showPercent val="0"/>
          <c:showBubbleSize val="0"/>
        </c:dLbls>
        <c:gapWidth val="25"/>
        <c:overlap val="100"/>
        <c:axId val="2077433136"/>
        <c:axId val="2077460016"/>
      </c:barChart>
      <c:catAx>
        <c:axId val="2077433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460016"/>
        <c:crosses val="autoZero"/>
        <c:auto val="1"/>
        <c:lblAlgn val="ctr"/>
        <c:lblOffset val="100"/>
        <c:noMultiLvlLbl val="0"/>
      </c:catAx>
      <c:valAx>
        <c:axId val="2077460016"/>
        <c:scaling>
          <c:orientation val="minMax"/>
        </c:scaling>
        <c:delete val="1"/>
        <c:axPos val="l"/>
        <c:numFmt formatCode="0%" sourceLinked="1"/>
        <c:majorTickMark val="out"/>
        <c:minorTickMark val="none"/>
        <c:tickLblPos val="nextTo"/>
        <c:crossAx val="207743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[excel-portfolio-project.xlsx]pivot!rep satisfaction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Rating</a:t>
            </a:r>
          </a:p>
        </c:rich>
      </c:tx>
      <c:layout>
        <c:manualLayout>
          <c:xMode val="edge"/>
          <c:yMode val="edge"/>
          <c:x val="3.2650802637372925E-2"/>
          <c:y val="1.87327860262266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pivot!$C$63</c:f>
              <c:strCache>
                <c:ptCount val="1"/>
                <c:pt idx="0">
                  <c:v>Total</c:v>
                </c:pt>
              </c:strCache>
            </c:strRef>
          </c:tx>
          <c:spPr>
            <a:solidFill>
              <a:schemeClr val="accent1"/>
            </a:solidFill>
            <a:ln>
              <a:noFill/>
            </a:ln>
            <a:effectLst/>
          </c:spPr>
          <c:invertIfNegative val="0"/>
          <c:cat>
            <c:strRef>
              <c:f>pivot!$B$64:$B$69</c:f>
              <c:strCache>
                <c:ptCount val="5"/>
                <c:pt idx="0">
                  <c:v>1</c:v>
                </c:pt>
                <c:pt idx="1">
                  <c:v>2</c:v>
                </c:pt>
                <c:pt idx="2">
                  <c:v>3</c:v>
                </c:pt>
                <c:pt idx="3">
                  <c:v>4</c:v>
                </c:pt>
                <c:pt idx="4">
                  <c:v>5</c:v>
                </c:pt>
              </c:strCache>
            </c:strRef>
          </c:cat>
          <c:val>
            <c:numRef>
              <c:f>pivot!$C$64:$C$69</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C6A5-4C3B-B203-D872D3929D44}"/>
            </c:ext>
          </c:extLst>
        </c:ser>
        <c:dLbls>
          <c:showLegendKey val="0"/>
          <c:showVal val="0"/>
          <c:showCatName val="0"/>
          <c:showSerName val="0"/>
          <c:showPercent val="0"/>
          <c:showBubbleSize val="0"/>
        </c:dLbls>
        <c:gapWidth val="25"/>
        <c:overlap val="-27"/>
        <c:axId val="2079562384"/>
        <c:axId val="2079563344"/>
      </c:barChart>
      <c:catAx>
        <c:axId val="207956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563344"/>
        <c:crosses val="autoZero"/>
        <c:auto val="1"/>
        <c:lblAlgn val="ctr"/>
        <c:lblOffset val="100"/>
        <c:noMultiLvlLbl val="0"/>
      </c:catAx>
      <c:valAx>
        <c:axId val="2079563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56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5" Type="http://schemas.openxmlformats.org/officeDocument/2006/relationships/chart" Target="../charts/chart5.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0</xdr:col>
      <xdr:colOff>314323</xdr:colOff>
      <xdr:row>3</xdr:row>
      <xdr:rowOff>47625</xdr:rowOff>
    </xdr:from>
    <xdr:to>
      <xdr:col>3</xdr:col>
      <xdr:colOff>209549</xdr:colOff>
      <xdr:row>8</xdr:row>
      <xdr:rowOff>9525</xdr:rowOff>
    </xdr:to>
    <xdr:sp macro="" textlink="pivot!A4">
      <xdr:nvSpPr>
        <xdr:cNvPr id="2" name="Rectangle 1">
          <a:extLst>
            <a:ext uri="{FF2B5EF4-FFF2-40B4-BE49-F238E27FC236}">
              <a16:creationId xmlns:a16="http://schemas.microsoft.com/office/drawing/2014/main" id="{99EB9E15-52AF-6EAC-E1EF-F0E2A0561E04}"/>
            </a:ext>
          </a:extLst>
        </xdr:cNvPr>
        <xdr:cNvSpPr/>
      </xdr:nvSpPr>
      <xdr:spPr>
        <a:xfrm>
          <a:off x="314323" y="619125"/>
          <a:ext cx="1428751" cy="9144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CF621DB-40A2-4556-B01E-8CF54F035103}" type="TxLink">
            <a:rPr lang="en-US" sz="2400" b="0" i="0" u="none" strike="noStrike">
              <a:solidFill>
                <a:schemeClr val="bg1"/>
              </a:solidFill>
              <a:latin typeface="Aptos ExtraBold" panose="020B0004020202020204" pitchFamily="34" charset="0"/>
            </a:rPr>
            <a:pPr algn="ctr"/>
            <a:t>1,000</a:t>
          </a:fld>
          <a:endParaRPr lang="en-IN" sz="2400">
            <a:solidFill>
              <a:schemeClr val="bg1"/>
            </a:solidFill>
            <a:latin typeface="Aptos ExtraBold" panose="020B0004020202020204" pitchFamily="34" charset="0"/>
          </a:endParaRPr>
        </a:p>
      </xdr:txBody>
    </xdr:sp>
    <xdr:clientData/>
  </xdr:twoCellAnchor>
  <xdr:twoCellAnchor>
    <xdr:from>
      <xdr:col>0</xdr:col>
      <xdr:colOff>314324</xdr:colOff>
      <xdr:row>3</xdr:row>
      <xdr:rowOff>38100</xdr:rowOff>
    </xdr:from>
    <xdr:to>
      <xdr:col>3</xdr:col>
      <xdr:colOff>85724</xdr:colOff>
      <xdr:row>4</xdr:row>
      <xdr:rowOff>104775</xdr:rowOff>
    </xdr:to>
    <xdr:sp macro="" textlink="">
      <xdr:nvSpPr>
        <xdr:cNvPr id="4" name="TextBox 3">
          <a:extLst>
            <a:ext uri="{FF2B5EF4-FFF2-40B4-BE49-F238E27FC236}">
              <a16:creationId xmlns:a16="http://schemas.microsoft.com/office/drawing/2014/main" id="{07EFAAD9-3E7D-7B4C-F680-99E29680D677}"/>
            </a:ext>
          </a:extLst>
        </xdr:cNvPr>
        <xdr:cNvSpPr txBox="1"/>
      </xdr:nvSpPr>
      <xdr:spPr>
        <a:xfrm>
          <a:off x="314324" y="609600"/>
          <a:ext cx="1304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calls</a:t>
          </a:r>
        </a:p>
      </xdr:txBody>
    </xdr:sp>
    <xdr:clientData/>
  </xdr:twoCellAnchor>
  <xdr:twoCellAnchor editAs="oneCell">
    <xdr:from>
      <xdr:col>1</xdr:col>
      <xdr:colOff>57150</xdr:colOff>
      <xdr:row>3</xdr:row>
      <xdr:rowOff>85724</xdr:rowOff>
    </xdr:from>
    <xdr:to>
      <xdr:col>1</xdr:col>
      <xdr:colOff>228601</xdr:colOff>
      <xdr:row>4</xdr:row>
      <xdr:rowOff>66675</xdr:rowOff>
    </xdr:to>
    <xdr:pic>
      <xdr:nvPicPr>
        <xdr:cNvPr id="5" name="Graphic 4" descr="Receiver with solid fill">
          <a:extLst>
            <a:ext uri="{FF2B5EF4-FFF2-40B4-BE49-F238E27FC236}">
              <a16:creationId xmlns:a16="http://schemas.microsoft.com/office/drawing/2014/main" id="{5BA5A5A5-6A72-4624-A1EF-57230B4D1F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1475" y="657224"/>
          <a:ext cx="171451" cy="171451"/>
        </a:xfrm>
        <a:prstGeom prst="rect">
          <a:avLst/>
        </a:prstGeom>
      </xdr:spPr>
    </xdr:pic>
    <xdr:clientData/>
  </xdr:twoCellAnchor>
  <xdr:twoCellAnchor>
    <xdr:from>
      <xdr:col>1</xdr:col>
      <xdr:colOff>9525</xdr:colOff>
      <xdr:row>6</xdr:row>
      <xdr:rowOff>76200</xdr:rowOff>
    </xdr:from>
    <xdr:to>
      <xdr:col>3</xdr:col>
      <xdr:colOff>104775</xdr:colOff>
      <xdr:row>7</xdr:row>
      <xdr:rowOff>133350</xdr:rowOff>
    </xdr:to>
    <xdr:sp macro="" textlink="pivot!A12">
      <xdr:nvSpPr>
        <xdr:cNvPr id="6" name="TextBox 5">
          <a:extLst>
            <a:ext uri="{FF2B5EF4-FFF2-40B4-BE49-F238E27FC236}">
              <a16:creationId xmlns:a16="http://schemas.microsoft.com/office/drawing/2014/main" id="{8D3BB792-EE23-DF78-46C2-DE2C1BA53932}"/>
            </a:ext>
          </a:extLst>
        </xdr:cNvPr>
        <xdr:cNvSpPr txBox="1"/>
      </xdr:nvSpPr>
      <xdr:spPr>
        <a:xfrm>
          <a:off x="323850" y="1219200"/>
          <a:ext cx="13144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A258CAC-9800-4096-9608-E4464F9001DF}" type="TxLink">
            <a:rPr lang="en-US" sz="1050" b="0" i="0" u="none" strike="noStrike">
              <a:solidFill>
                <a:schemeClr val="bg1">
                  <a:lumMod val="95000"/>
                </a:schemeClr>
              </a:solidFill>
              <a:latin typeface="Aptos Narrow"/>
            </a:rPr>
            <a:pPr algn="ctr"/>
            <a:t>189</a:t>
          </a:fld>
          <a:endParaRPr lang="en-IN" sz="1050">
            <a:solidFill>
              <a:schemeClr val="bg1">
                <a:lumMod val="95000"/>
              </a:schemeClr>
            </a:solidFill>
          </a:endParaRPr>
        </a:p>
      </xdr:txBody>
    </xdr:sp>
    <xdr:clientData/>
  </xdr:twoCellAnchor>
  <xdr:twoCellAnchor>
    <xdr:from>
      <xdr:col>1</xdr:col>
      <xdr:colOff>0</xdr:colOff>
      <xdr:row>10</xdr:row>
      <xdr:rowOff>0</xdr:rowOff>
    </xdr:from>
    <xdr:to>
      <xdr:col>3</xdr:col>
      <xdr:colOff>209551</xdr:colOff>
      <xdr:row>14</xdr:row>
      <xdr:rowOff>152400</xdr:rowOff>
    </xdr:to>
    <xdr:sp macro="" textlink="pivot!B4">
      <xdr:nvSpPr>
        <xdr:cNvPr id="27" name="Rectangle 26">
          <a:extLst>
            <a:ext uri="{FF2B5EF4-FFF2-40B4-BE49-F238E27FC236}">
              <a16:creationId xmlns:a16="http://schemas.microsoft.com/office/drawing/2014/main" id="{3A832749-9111-459A-8256-8DD14F6C1B05}"/>
            </a:ext>
          </a:extLst>
        </xdr:cNvPr>
        <xdr:cNvSpPr/>
      </xdr:nvSpPr>
      <xdr:spPr>
        <a:xfrm>
          <a:off x="314325" y="1905000"/>
          <a:ext cx="1428751" cy="9144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93417C8-B76D-4EA8-B28B-84CE0A945C47}" type="TxLink">
            <a:rPr lang="en-US" sz="2400" b="0" i="0" u="none" strike="noStrike">
              <a:solidFill>
                <a:schemeClr val="bg1"/>
              </a:solidFill>
              <a:latin typeface="Aptos ExtraBold" panose="020B0004020202020204" pitchFamily="34" charset="0"/>
              <a:ea typeface="+mn-ea"/>
              <a:cs typeface="+mn-cs"/>
            </a:rPr>
            <a:pPr marL="0" indent="0" algn="ctr"/>
            <a:t>₹ 96,623</a:t>
          </a:fld>
          <a:endParaRPr lang="en-IN" sz="2400" b="0" i="0" u="none" strike="noStrike">
            <a:solidFill>
              <a:schemeClr val="bg1"/>
            </a:solidFill>
            <a:latin typeface="Aptos ExtraBold" panose="020B0004020202020204" pitchFamily="34" charset="0"/>
            <a:ea typeface="+mn-ea"/>
            <a:cs typeface="+mn-cs"/>
          </a:endParaRPr>
        </a:p>
      </xdr:txBody>
    </xdr:sp>
    <xdr:clientData/>
  </xdr:twoCellAnchor>
  <xdr:twoCellAnchor>
    <xdr:from>
      <xdr:col>1</xdr:col>
      <xdr:colOff>66677</xdr:colOff>
      <xdr:row>10</xdr:row>
      <xdr:rowOff>28575</xdr:rowOff>
    </xdr:from>
    <xdr:to>
      <xdr:col>3</xdr:col>
      <xdr:colOff>142875</xdr:colOff>
      <xdr:row>11</xdr:row>
      <xdr:rowOff>133350</xdr:rowOff>
    </xdr:to>
    <xdr:sp macro="" textlink="">
      <xdr:nvSpPr>
        <xdr:cNvPr id="28" name="TextBox 27">
          <a:extLst>
            <a:ext uri="{FF2B5EF4-FFF2-40B4-BE49-F238E27FC236}">
              <a16:creationId xmlns:a16="http://schemas.microsoft.com/office/drawing/2014/main" id="{2DF3AC5F-D63C-4E22-BA5E-9F07D8EAB132}"/>
            </a:ext>
          </a:extLst>
        </xdr:cNvPr>
        <xdr:cNvSpPr txBox="1"/>
      </xdr:nvSpPr>
      <xdr:spPr>
        <a:xfrm>
          <a:off x="381002" y="1933575"/>
          <a:ext cx="12953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Amount</a:t>
          </a:r>
        </a:p>
        <a:p>
          <a:pPr algn="ctr"/>
          <a:endParaRPr lang="en-IN" sz="1100">
            <a:solidFill>
              <a:schemeClr val="bg1"/>
            </a:solidFill>
          </a:endParaRPr>
        </a:p>
      </xdr:txBody>
    </xdr:sp>
    <xdr:clientData/>
  </xdr:twoCellAnchor>
  <xdr:twoCellAnchor editAs="oneCell">
    <xdr:from>
      <xdr:col>1</xdr:col>
      <xdr:colOff>66677</xdr:colOff>
      <xdr:row>10</xdr:row>
      <xdr:rowOff>57149</xdr:rowOff>
    </xdr:from>
    <xdr:to>
      <xdr:col>1</xdr:col>
      <xdr:colOff>238128</xdr:colOff>
      <xdr:row>11</xdr:row>
      <xdr:rowOff>38100</xdr:rowOff>
    </xdr:to>
    <xdr:pic>
      <xdr:nvPicPr>
        <xdr:cNvPr id="29" name="Graphic 28">
          <a:extLst>
            <a:ext uri="{FF2B5EF4-FFF2-40B4-BE49-F238E27FC236}">
              <a16:creationId xmlns:a16="http://schemas.microsoft.com/office/drawing/2014/main" id="{AA03C4CE-9A6E-4704-BBB4-245FC173570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381002" y="1962149"/>
          <a:ext cx="171451" cy="171451"/>
        </a:xfrm>
        <a:prstGeom prst="rect">
          <a:avLst/>
        </a:prstGeom>
      </xdr:spPr>
    </xdr:pic>
    <xdr:clientData/>
  </xdr:twoCellAnchor>
  <xdr:twoCellAnchor>
    <xdr:from>
      <xdr:col>1</xdr:col>
      <xdr:colOff>66676</xdr:colOff>
      <xdr:row>13</xdr:row>
      <xdr:rowOff>1</xdr:rowOff>
    </xdr:from>
    <xdr:to>
      <xdr:col>3</xdr:col>
      <xdr:colOff>76199</xdr:colOff>
      <xdr:row>14</xdr:row>
      <xdr:rowOff>114301</xdr:rowOff>
    </xdr:to>
    <xdr:sp macro="" textlink="pivot!B12">
      <xdr:nvSpPr>
        <xdr:cNvPr id="30" name="TextBox 29">
          <a:extLst>
            <a:ext uri="{FF2B5EF4-FFF2-40B4-BE49-F238E27FC236}">
              <a16:creationId xmlns:a16="http://schemas.microsoft.com/office/drawing/2014/main" id="{ED88054F-0252-4C80-BFF0-323A69197476}"/>
            </a:ext>
          </a:extLst>
        </xdr:cNvPr>
        <xdr:cNvSpPr txBox="1"/>
      </xdr:nvSpPr>
      <xdr:spPr>
        <a:xfrm>
          <a:off x="381001" y="2476501"/>
          <a:ext cx="1228723"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7F5337-EF14-4043-8A44-25FC8CF1C3F1}" type="TxLink">
            <a:rPr lang="en-US" sz="1100" b="0" i="0" u="none" strike="noStrike">
              <a:solidFill>
                <a:schemeClr val="bg1"/>
              </a:solidFill>
              <a:latin typeface="Aptos Narrow"/>
            </a:rPr>
            <a:pPr algn="ctr"/>
            <a:t>₹ 18,415</a:t>
          </a:fld>
          <a:endParaRPr lang="en-IN" sz="1050">
            <a:solidFill>
              <a:schemeClr val="bg1"/>
            </a:solidFill>
          </a:endParaRPr>
        </a:p>
      </xdr:txBody>
    </xdr:sp>
    <xdr:clientData/>
  </xdr:twoCellAnchor>
  <xdr:twoCellAnchor>
    <xdr:from>
      <xdr:col>1</xdr:col>
      <xdr:colOff>0</xdr:colOff>
      <xdr:row>17</xdr:row>
      <xdr:rowOff>0</xdr:rowOff>
    </xdr:from>
    <xdr:to>
      <xdr:col>3</xdr:col>
      <xdr:colOff>209551</xdr:colOff>
      <xdr:row>20</xdr:row>
      <xdr:rowOff>152400</xdr:rowOff>
    </xdr:to>
    <xdr:sp macro="" textlink="pivot!C4">
      <xdr:nvSpPr>
        <xdr:cNvPr id="35" name="Rectangle 34">
          <a:extLst>
            <a:ext uri="{FF2B5EF4-FFF2-40B4-BE49-F238E27FC236}">
              <a16:creationId xmlns:a16="http://schemas.microsoft.com/office/drawing/2014/main" id="{FBEDFCBC-A79E-4FB9-ACD2-B7BA51F99943}"/>
            </a:ext>
          </a:extLst>
        </xdr:cNvPr>
        <xdr:cNvSpPr/>
      </xdr:nvSpPr>
      <xdr:spPr>
        <a:xfrm>
          <a:off x="314325" y="3238500"/>
          <a:ext cx="1428751" cy="9144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D6E0760-49C5-457E-AA92-92CC136E182D}" type="TxLink">
            <a:rPr lang="en-US" sz="2400" b="0" i="0" u="none" strike="noStrike">
              <a:solidFill>
                <a:schemeClr val="bg1"/>
              </a:solidFill>
              <a:latin typeface="Aptos ExtraBold" panose="020B0004020202020204" pitchFamily="34" charset="0"/>
              <a:ea typeface="+mn-ea"/>
              <a:cs typeface="+mn-cs"/>
            </a:rPr>
            <a:pPr marL="0" indent="0" algn="ctr"/>
            <a:t>89,850</a:t>
          </a:fld>
          <a:endParaRPr lang="en-IN" sz="2400" b="0" i="0" u="none" strike="noStrike">
            <a:solidFill>
              <a:schemeClr val="bg1"/>
            </a:solidFill>
            <a:latin typeface="Aptos ExtraBold" panose="020B0004020202020204" pitchFamily="34" charset="0"/>
            <a:ea typeface="+mn-ea"/>
            <a:cs typeface="+mn-cs"/>
          </a:endParaRPr>
        </a:p>
      </xdr:txBody>
    </xdr:sp>
    <xdr:clientData/>
  </xdr:twoCellAnchor>
  <xdr:twoCellAnchor>
    <xdr:from>
      <xdr:col>1</xdr:col>
      <xdr:colOff>66676</xdr:colOff>
      <xdr:row>17</xdr:row>
      <xdr:rowOff>0</xdr:rowOff>
    </xdr:from>
    <xdr:to>
      <xdr:col>3</xdr:col>
      <xdr:colOff>152399</xdr:colOff>
      <xdr:row>17</xdr:row>
      <xdr:rowOff>114300</xdr:rowOff>
    </xdr:to>
    <xdr:sp macro="" textlink="">
      <xdr:nvSpPr>
        <xdr:cNvPr id="36" name="TextBox 35">
          <a:extLst>
            <a:ext uri="{FF2B5EF4-FFF2-40B4-BE49-F238E27FC236}">
              <a16:creationId xmlns:a16="http://schemas.microsoft.com/office/drawing/2014/main" id="{DDFC9C87-854D-4FC0-93D8-288A5ED11706}"/>
            </a:ext>
          </a:extLst>
        </xdr:cNvPr>
        <xdr:cNvSpPr txBox="1"/>
      </xdr:nvSpPr>
      <xdr:spPr>
        <a:xfrm>
          <a:off x="381001" y="3267075"/>
          <a:ext cx="1304923"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Duration</a:t>
          </a:r>
        </a:p>
        <a:p>
          <a:pPr algn="ctr"/>
          <a:endParaRPr lang="en-IN" sz="1100">
            <a:solidFill>
              <a:schemeClr val="bg1"/>
            </a:solidFill>
          </a:endParaRPr>
        </a:p>
      </xdr:txBody>
    </xdr:sp>
    <xdr:clientData/>
  </xdr:twoCellAnchor>
  <xdr:twoCellAnchor editAs="oneCell">
    <xdr:from>
      <xdr:col>1</xdr:col>
      <xdr:colOff>66677</xdr:colOff>
      <xdr:row>17</xdr:row>
      <xdr:rowOff>0</xdr:rowOff>
    </xdr:from>
    <xdr:to>
      <xdr:col>1</xdr:col>
      <xdr:colOff>238128</xdr:colOff>
      <xdr:row>17</xdr:row>
      <xdr:rowOff>171451</xdr:rowOff>
    </xdr:to>
    <xdr:pic>
      <xdr:nvPicPr>
        <xdr:cNvPr id="37" name="Graphic 36">
          <a:extLst>
            <a:ext uri="{FF2B5EF4-FFF2-40B4-BE49-F238E27FC236}">
              <a16:creationId xmlns:a16="http://schemas.microsoft.com/office/drawing/2014/main" id="{10B40977-C944-4AF2-B1C5-8494514308B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81002" y="3295649"/>
          <a:ext cx="171451" cy="171451"/>
        </a:xfrm>
        <a:prstGeom prst="rect">
          <a:avLst/>
        </a:prstGeom>
      </xdr:spPr>
    </xdr:pic>
    <xdr:clientData/>
  </xdr:twoCellAnchor>
  <xdr:twoCellAnchor>
    <xdr:from>
      <xdr:col>1</xdr:col>
      <xdr:colOff>66677</xdr:colOff>
      <xdr:row>19</xdr:row>
      <xdr:rowOff>28575</xdr:rowOff>
    </xdr:from>
    <xdr:to>
      <xdr:col>3</xdr:col>
      <xdr:colOff>95250</xdr:colOff>
      <xdr:row>20</xdr:row>
      <xdr:rowOff>104775</xdr:rowOff>
    </xdr:to>
    <xdr:sp macro="" textlink="pivot!C12">
      <xdr:nvSpPr>
        <xdr:cNvPr id="38" name="TextBox 37">
          <a:extLst>
            <a:ext uri="{FF2B5EF4-FFF2-40B4-BE49-F238E27FC236}">
              <a16:creationId xmlns:a16="http://schemas.microsoft.com/office/drawing/2014/main" id="{F6AB3A78-7677-429F-A34B-19D0558D639D}"/>
            </a:ext>
          </a:extLst>
        </xdr:cNvPr>
        <xdr:cNvSpPr txBox="1"/>
      </xdr:nvSpPr>
      <xdr:spPr>
        <a:xfrm>
          <a:off x="381002" y="3838575"/>
          <a:ext cx="1247773"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9FBC423-FA81-4178-B7DC-FC3E94D5F6A8}" type="TxLink">
            <a:rPr lang="en-US" sz="1100" b="0" i="0" u="none" strike="noStrike">
              <a:solidFill>
                <a:schemeClr val="bg1"/>
              </a:solidFill>
              <a:latin typeface="Aptos Narrow"/>
            </a:rPr>
            <a:pPr algn="ctr"/>
            <a:t>16,834</a:t>
          </a:fld>
          <a:endParaRPr lang="en-IN" sz="1050">
            <a:solidFill>
              <a:schemeClr val="bg1"/>
            </a:solidFill>
          </a:endParaRPr>
        </a:p>
      </xdr:txBody>
    </xdr:sp>
    <xdr:clientData/>
  </xdr:twoCellAnchor>
  <xdr:twoCellAnchor>
    <xdr:from>
      <xdr:col>1</xdr:col>
      <xdr:colOff>0</xdr:colOff>
      <xdr:row>23</xdr:row>
      <xdr:rowOff>0</xdr:rowOff>
    </xdr:from>
    <xdr:to>
      <xdr:col>3</xdr:col>
      <xdr:colOff>209551</xdr:colOff>
      <xdr:row>27</xdr:row>
      <xdr:rowOff>152400</xdr:rowOff>
    </xdr:to>
    <xdr:sp macro="" textlink="pivot!D4">
      <xdr:nvSpPr>
        <xdr:cNvPr id="39" name="Rectangle 38">
          <a:extLst>
            <a:ext uri="{FF2B5EF4-FFF2-40B4-BE49-F238E27FC236}">
              <a16:creationId xmlns:a16="http://schemas.microsoft.com/office/drawing/2014/main" id="{51816F8E-A4CA-41FE-99BF-C2E7EDCB589D}"/>
            </a:ext>
          </a:extLst>
        </xdr:cNvPr>
        <xdr:cNvSpPr/>
      </xdr:nvSpPr>
      <xdr:spPr>
        <a:xfrm>
          <a:off x="314325" y="4572000"/>
          <a:ext cx="1428751" cy="9144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B2D51B3-B354-497F-B23E-350E8D4A9AC0}" type="TxLink">
            <a:rPr lang="en-US" sz="2400" b="0" i="0" u="none" strike="noStrike">
              <a:solidFill>
                <a:schemeClr val="bg1"/>
              </a:solidFill>
              <a:latin typeface="Aptos ExtraBold" panose="020B0004020202020204" pitchFamily="34" charset="0"/>
              <a:ea typeface="+mn-ea"/>
              <a:cs typeface="+mn-cs"/>
            </a:rPr>
            <a:pPr marL="0" indent="0" algn="ctr"/>
            <a:t>3.9</a:t>
          </a:fld>
          <a:endParaRPr lang="en-IN" sz="2400" b="0" i="0" u="none" strike="noStrike">
            <a:solidFill>
              <a:schemeClr val="bg1"/>
            </a:solidFill>
            <a:latin typeface="Aptos ExtraBold" panose="020B0004020202020204" pitchFamily="34" charset="0"/>
            <a:ea typeface="+mn-ea"/>
            <a:cs typeface="+mn-cs"/>
          </a:endParaRPr>
        </a:p>
      </xdr:txBody>
    </xdr:sp>
    <xdr:clientData/>
  </xdr:twoCellAnchor>
  <xdr:twoCellAnchor>
    <xdr:from>
      <xdr:col>1</xdr:col>
      <xdr:colOff>66677</xdr:colOff>
      <xdr:row>23</xdr:row>
      <xdr:rowOff>28575</xdr:rowOff>
    </xdr:from>
    <xdr:to>
      <xdr:col>3</xdr:col>
      <xdr:colOff>123825</xdr:colOff>
      <xdr:row>24</xdr:row>
      <xdr:rowOff>95250</xdr:rowOff>
    </xdr:to>
    <xdr:sp macro="" textlink="">
      <xdr:nvSpPr>
        <xdr:cNvPr id="40" name="TextBox 39">
          <a:extLst>
            <a:ext uri="{FF2B5EF4-FFF2-40B4-BE49-F238E27FC236}">
              <a16:creationId xmlns:a16="http://schemas.microsoft.com/office/drawing/2014/main" id="{621EDFE4-8C1C-4B1E-84BD-33CD655B3869}"/>
            </a:ext>
          </a:extLst>
        </xdr:cNvPr>
        <xdr:cNvSpPr txBox="1"/>
      </xdr:nvSpPr>
      <xdr:spPr>
        <a:xfrm>
          <a:off x="381002" y="4600575"/>
          <a:ext cx="127634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Avg.Rating</a:t>
          </a:r>
        </a:p>
        <a:p>
          <a:pPr algn="ctr"/>
          <a:endParaRPr lang="en-IN" sz="1100">
            <a:solidFill>
              <a:schemeClr val="bg1"/>
            </a:solidFill>
          </a:endParaRPr>
        </a:p>
      </xdr:txBody>
    </xdr:sp>
    <xdr:clientData/>
  </xdr:twoCellAnchor>
  <xdr:twoCellAnchor editAs="oneCell">
    <xdr:from>
      <xdr:col>1</xdr:col>
      <xdr:colOff>66677</xdr:colOff>
      <xdr:row>23</xdr:row>
      <xdr:rowOff>57149</xdr:rowOff>
    </xdr:from>
    <xdr:to>
      <xdr:col>1</xdr:col>
      <xdr:colOff>238128</xdr:colOff>
      <xdr:row>24</xdr:row>
      <xdr:rowOff>38100</xdr:rowOff>
    </xdr:to>
    <xdr:pic>
      <xdr:nvPicPr>
        <xdr:cNvPr id="41" name="Graphic 40">
          <a:extLst>
            <a:ext uri="{FF2B5EF4-FFF2-40B4-BE49-F238E27FC236}">
              <a16:creationId xmlns:a16="http://schemas.microsoft.com/office/drawing/2014/main" id="{30409151-79C4-4FC6-85E5-5BD2AA6D2AC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81002" y="4629149"/>
          <a:ext cx="171451" cy="171451"/>
        </a:xfrm>
        <a:prstGeom prst="rect">
          <a:avLst/>
        </a:prstGeom>
      </xdr:spPr>
    </xdr:pic>
    <xdr:clientData/>
  </xdr:twoCellAnchor>
  <xdr:twoCellAnchor>
    <xdr:from>
      <xdr:col>1</xdr:col>
      <xdr:colOff>66677</xdr:colOff>
      <xdr:row>26</xdr:row>
      <xdr:rowOff>28576</xdr:rowOff>
    </xdr:from>
    <xdr:to>
      <xdr:col>3</xdr:col>
      <xdr:colOff>104775</xdr:colOff>
      <xdr:row>27</xdr:row>
      <xdr:rowOff>47626</xdr:rowOff>
    </xdr:to>
    <xdr:sp macro="" textlink="pivot!D12">
      <xdr:nvSpPr>
        <xdr:cNvPr id="42" name="TextBox 41">
          <a:extLst>
            <a:ext uri="{FF2B5EF4-FFF2-40B4-BE49-F238E27FC236}">
              <a16:creationId xmlns:a16="http://schemas.microsoft.com/office/drawing/2014/main" id="{493EB78C-2D3F-4CB2-959E-861EC0B9BA1B}"/>
            </a:ext>
          </a:extLst>
        </xdr:cNvPr>
        <xdr:cNvSpPr txBox="1"/>
      </xdr:nvSpPr>
      <xdr:spPr>
        <a:xfrm>
          <a:off x="381002" y="5172076"/>
          <a:ext cx="1257298"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4B49572-F19D-43AB-9171-F251338C11CD}" type="TxLink">
            <a:rPr lang="en-US" sz="1100" b="0" i="0" u="none" strike="noStrike">
              <a:solidFill>
                <a:schemeClr val="bg1"/>
              </a:solidFill>
              <a:latin typeface="Aptos Narrow"/>
            </a:rPr>
            <a:pPr algn="ctr"/>
            <a:t>3.9</a:t>
          </a:fld>
          <a:endParaRPr lang="en-IN" sz="1050">
            <a:solidFill>
              <a:schemeClr val="bg1"/>
            </a:solidFill>
          </a:endParaRPr>
        </a:p>
      </xdr:txBody>
    </xdr:sp>
    <xdr:clientData/>
  </xdr:twoCellAnchor>
  <xdr:twoCellAnchor>
    <xdr:from>
      <xdr:col>1</xdr:col>
      <xdr:colOff>0</xdr:colOff>
      <xdr:row>30</xdr:row>
      <xdr:rowOff>0</xdr:rowOff>
    </xdr:from>
    <xdr:to>
      <xdr:col>3</xdr:col>
      <xdr:colOff>209551</xdr:colOff>
      <xdr:row>34</xdr:row>
      <xdr:rowOff>152400</xdr:rowOff>
    </xdr:to>
    <xdr:sp macro="" textlink="pivot!E4">
      <xdr:nvSpPr>
        <xdr:cNvPr id="43" name="Rectangle 42">
          <a:extLst>
            <a:ext uri="{FF2B5EF4-FFF2-40B4-BE49-F238E27FC236}">
              <a16:creationId xmlns:a16="http://schemas.microsoft.com/office/drawing/2014/main" id="{21AF0C1C-84F4-4ED0-BD88-C14B8FEB97D2}"/>
            </a:ext>
          </a:extLst>
        </xdr:cNvPr>
        <xdr:cNvSpPr/>
      </xdr:nvSpPr>
      <xdr:spPr>
        <a:xfrm>
          <a:off x="314325" y="5905500"/>
          <a:ext cx="1428751" cy="9144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417129E-1A73-494B-90CD-2A81C7F39398}" type="TxLink">
            <a:rPr lang="en-US" sz="2400" b="0" i="0" u="none" strike="noStrike">
              <a:solidFill>
                <a:schemeClr val="bg1"/>
              </a:solidFill>
              <a:latin typeface="Aptos ExtraBold" panose="020B0004020202020204" pitchFamily="34" charset="0"/>
              <a:ea typeface="+mn-ea"/>
              <a:cs typeface="+mn-cs"/>
            </a:rPr>
            <a:pPr marL="0" indent="0" algn="ctr"/>
            <a:t>307</a:t>
          </a:fld>
          <a:endParaRPr lang="en-IN" sz="2400" b="0" i="0" u="none" strike="noStrike">
            <a:solidFill>
              <a:schemeClr val="bg1"/>
            </a:solidFill>
            <a:latin typeface="Aptos ExtraBold" panose="020B0004020202020204" pitchFamily="34" charset="0"/>
            <a:ea typeface="+mn-ea"/>
            <a:cs typeface="+mn-cs"/>
          </a:endParaRPr>
        </a:p>
      </xdr:txBody>
    </xdr:sp>
    <xdr:clientData/>
  </xdr:twoCellAnchor>
  <xdr:twoCellAnchor>
    <xdr:from>
      <xdr:col>1</xdr:col>
      <xdr:colOff>66676</xdr:colOff>
      <xdr:row>30</xdr:row>
      <xdr:rowOff>28576</xdr:rowOff>
    </xdr:from>
    <xdr:to>
      <xdr:col>3</xdr:col>
      <xdr:colOff>152399</xdr:colOff>
      <xdr:row>31</xdr:row>
      <xdr:rowOff>85726</xdr:rowOff>
    </xdr:to>
    <xdr:sp macro="" textlink="">
      <xdr:nvSpPr>
        <xdr:cNvPr id="44" name="TextBox 43">
          <a:extLst>
            <a:ext uri="{FF2B5EF4-FFF2-40B4-BE49-F238E27FC236}">
              <a16:creationId xmlns:a16="http://schemas.microsoft.com/office/drawing/2014/main" id="{80E939F1-E4C4-48C7-83B8-298E9B7EF1A7}"/>
            </a:ext>
          </a:extLst>
        </xdr:cNvPr>
        <xdr:cNvSpPr txBox="1"/>
      </xdr:nvSpPr>
      <xdr:spPr>
        <a:xfrm>
          <a:off x="381001" y="5934076"/>
          <a:ext cx="1304923"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Happy</a:t>
          </a:r>
          <a:r>
            <a:rPr lang="en-IN" sz="1100" baseline="0">
              <a:solidFill>
                <a:schemeClr val="bg1"/>
              </a:solidFill>
            </a:rPr>
            <a:t> callers</a:t>
          </a:r>
        </a:p>
        <a:p>
          <a:pPr algn="ctr"/>
          <a:endParaRPr lang="en-IN" sz="1100">
            <a:solidFill>
              <a:schemeClr val="bg1"/>
            </a:solidFill>
          </a:endParaRPr>
        </a:p>
      </xdr:txBody>
    </xdr:sp>
    <xdr:clientData/>
  </xdr:twoCellAnchor>
  <xdr:twoCellAnchor editAs="oneCell">
    <xdr:from>
      <xdr:col>1</xdr:col>
      <xdr:colOff>66677</xdr:colOff>
      <xdr:row>30</xdr:row>
      <xdr:rowOff>57149</xdr:rowOff>
    </xdr:from>
    <xdr:to>
      <xdr:col>1</xdr:col>
      <xdr:colOff>238128</xdr:colOff>
      <xdr:row>31</xdr:row>
      <xdr:rowOff>38100</xdr:rowOff>
    </xdr:to>
    <xdr:pic>
      <xdr:nvPicPr>
        <xdr:cNvPr id="45" name="Graphic 44">
          <a:extLst>
            <a:ext uri="{FF2B5EF4-FFF2-40B4-BE49-F238E27FC236}">
              <a16:creationId xmlns:a16="http://schemas.microsoft.com/office/drawing/2014/main" id="{E0398CEE-2708-4201-A6A6-6A3DC9F9E20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381002" y="5962649"/>
          <a:ext cx="171451" cy="171451"/>
        </a:xfrm>
        <a:prstGeom prst="rect">
          <a:avLst/>
        </a:prstGeom>
      </xdr:spPr>
    </xdr:pic>
    <xdr:clientData/>
  </xdr:twoCellAnchor>
  <xdr:twoCellAnchor editAs="oneCell">
    <xdr:from>
      <xdr:col>11</xdr:col>
      <xdr:colOff>448237</xdr:colOff>
      <xdr:row>17</xdr:row>
      <xdr:rowOff>0</xdr:rowOff>
    </xdr:from>
    <xdr:to>
      <xdr:col>14</xdr:col>
      <xdr:colOff>78441</xdr:colOff>
      <xdr:row>27</xdr:row>
      <xdr:rowOff>56029</xdr:rowOff>
    </xdr:to>
    <mc:AlternateContent xmlns:mc="http://schemas.openxmlformats.org/markup-compatibility/2006" xmlns:a14="http://schemas.microsoft.com/office/drawing/2010/main">
      <mc:Choice Requires="a14">
        <xdr:graphicFrame macro="">
          <xdr:nvGraphicFramePr>
            <xdr:cNvPr id="3" name="Representative">
              <a:extLst>
                <a:ext uri="{FF2B5EF4-FFF2-40B4-BE49-F238E27FC236}">
                  <a16:creationId xmlns:a16="http://schemas.microsoft.com/office/drawing/2014/main" id="{3E1196C9-8D3C-41F6-B970-DC830257FA1F}"/>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919634" y="3347757"/>
              <a:ext cx="1479175" cy="2017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403411</xdr:colOff>
      <xdr:row>3</xdr:row>
      <xdr:rowOff>100853</xdr:rowOff>
    </xdr:from>
    <xdr:to>
      <xdr:col>13</xdr:col>
      <xdr:colOff>593913</xdr:colOff>
      <xdr:row>14</xdr:row>
      <xdr:rowOff>1</xdr:rowOff>
    </xdr:to>
    <xdr:graphicFrame macro="">
      <xdr:nvGraphicFramePr>
        <xdr:cNvPr id="8" name="Chart 7">
          <a:extLst>
            <a:ext uri="{FF2B5EF4-FFF2-40B4-BE49-F238E27FC236}">
              <a16:creationId xmlns:a16="http://schemas.microsoft.com/office/drawing/2014/main" id="{896A2C4A-B85E-46C9-8C71-EE45B7516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66677</xdr:colOff>
      <xdr:row>33</xdr:row>
      <xdr:rowOff>28575</xdr:rowOff>
    </xdr:from>
    <xdr:to>
      <xdr:col>3</xdr:col>
      <xdr:colOff>114300</xdr:colOff>
      <xdr:row>34</xdr:row>
      <xdr:rowOff>57150</xdr:rowOff>
    </xdr:to>
    <xdr:sp macro="" textlink="pivot!D12">
      <xdr:nvSpPr>
        <xdr:cNvPr id="46" name="TextBox 45">
          <a:extLst>
            <a:ext uri="{FF2B5EF4-FFF2-40B4-BE49-F238E27FC236}">
              <a16:creationId xmlns:a16="http://schemas.microsoft.com/office/drawing/2014/main" id="{6EFAF35E-AC3F-4D4B-B2E3-93223AA862D0}"/>
            </a:ext>
          </a:extLst>
        </xdr:cNvPr>
        <xdr:cNvSpPr txBox="1"/>
      </xdr:nvSpPr>
      <xdr:spPr>
        <a:xfrm>
          <a:off x="381002" y="6505575"/>
          <a:ext cx="1266823"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3E42B1-5340-4D8B-9296-002DDFF58C58}" type="TxLink">
            <a:rPr lang="en-US" sz="1100" b="0" i="0" u="none" strike="noStrike">
              <a:solidFill>
                <a:schemeClr val="bg1"/>
              </a:solidFill>
              <a:latin typeface="Aptos Narrow"/>
            </a:rPr>
            <a:pPr algn="ctr"/>
            <a:t>3.9</a:t>
          </a:fld>
          <a:endParaRPr lang="en-IN" sz="1050">
            <a:solidFill>
              <a:schemeClr val="bg1"/>
            </a:solidFill>
          </a:endParaRPr>
        </a:p>
      </xdr:txBody>
    </xdr:sp>
    <xdr:clientData/>
  </xdr:twoCellAnchor>
  <xdr:twoCellAnchor>
    <xdr:from>
      <xdr:col>3</xdr:col>
      <xdr:colOff>448234</xdr:colOff>
      <xdr:row>3</xdr:row>
      <xdr:rowOff>78441</xdr:rowOff>
    </xdr:from>
    <xdr:to>
      <xdr:col>10</xdr:col>
      <xdr:colOff>448235</xdr:colOff>
      <xdr:row>14</xdr:row>
      <xdr:rowOff>1</xdr:rowOff>
    </xdr:to>
    <xdr:graphicFrame macro="">
      <xdr:nvGraphicFramePr>
        <xdr:cNvPr id="7" name="Chart 6">
          <a:extLst>
            <a:ext uri="{FF2B5EF4-FFF2-40B4-BE49-F238E27FC236}">
              <a16:creationId xmlns:a16="http://schemas.microsoft.com/office/drawing/2014/main" id="{2A42ADCB-21E6-41DD-9988-503C106E8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448235</xdr:colOff>
      <xdr:row>16</xdr:row>
      <xdr:rowOff>67235</xdr:rowOff>
    </xdr:from>
    <xdr:to>
      <xdr:col>11</xdr:col>
      <xdr:colOff>470647</xdr:colOff>
      <xdr:row>32</xdr:row>
      <xdr:rowOff>0</xdr:rowOff>
    </xdr:to>
    <xdr:sp macro="" textlink="">
      <xdr:nvSpPr>
        <xdr:cNvPr id="19" name="Rectangle 18">
          <a:extLst>
            <a:ext uri="{FF2B5EF4-FFF2-40B4-BE49-F238E27FC236}">
              <a16:creationId xmlns:a16="http://schemas.microsoft.com/office/drawing/2014/main" id="{55739C18-474E-8D56-51EF-7E95CDCC4B7B}"/>
            </a:ext>
          </a:extLst>
        </xdr:cNvPr>
        <xdr:cNvSpPr/>
      </xdr:nvSpPr>
      <xdr:spPr>
        <a:xfrm>
          <a:off x="1972235" y="3115235"/>
          <a:ext cx="4863353" cy="3171265"/>
        </a:xfrm>
        <a:prstGeom prst="rect">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246530</xdr:colOff>
      <xdr:row>16</xdr:row>
      <xdr:rowOff>67235</xdr:rowOff>
    </xdr:from>
    <xdr:to>
      <xdr:col>11</xdr:col>
      <xdr:colOff>414618</xdr:colOff>
      <xdr:row>31</xdr:row>
      <xdr:rowOff>179294</xdr:rowOff>
    </xdr:to>
    <xdr:graphicFrame macro="">
      <xdr:nvGraphicFramePr>
        <xdr:cNvPr id="17" name="Chart 16">
          <a:extLst>
            <a:ext uri="{FF2B5EF4-FFF2-40B4-BE49-F238E27FC236}">
              <a16:creationId xmlns:a16="http://schemas.microsoft.com/office/drawing/2014/main" id="{1CB27E4C-5A6E-4F00-958F-E14D3EE80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459440</xdr:colOff>
      <xdr:row>16</xdr:row>
      <xdr:rowOff>56029</xdr:rowOff>
    </xdr:from>
    <xdr:to>
      <xdr:col>8</xdr:col>
      <xdr:colOff>215152</xdr:colOff>
      <xdr:row>31</xdr:row>
      <xdr:rowOff>151280</xdr:rowOff>
    </xdr:to>
    <xdr:graphicFrame macro="">
      <xdr:nvGraphicFramePr>
        <xdr:cNvPr id="18" name="Chart 17">
          <a:extLst>
            <a:ext uri="{FF2B5EF4-FFF2-40B4-BE49-F238E27FC236}">
              <a16:creationId xmlns:a16="http://schemas.microsoft.com/office/drawing/2014/main" id="{E08C9AE3-556D-48BD-ABED-7660CE95C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168089</xdr:colOff>
      <xdr:row>3</xdr:row>
      <xdr:rowOff>67234</xdr:rowOff>
    </xdr:from>
    <xdr:to>
      <xdr:col>18</xdr:col>
      <xdr:colOff>201706</xdr:colOff>
      <xdr:row>16</xdr:row>
      <xdr:rowOff>156881</xdr:rowOff>
    </xdr:to>
    <xdr:graphicFrame macro="">
      <xdr:nvGraphicFramePr>
        <xdr:cNvPr id="20" name="Chart 19">
          <a:extLst>
            <a:ext uri="{FF2B5EF4-FFF2-40B4-BE49-F238E27FC236}">
              <a16:creationId xmlns:a16="http://schemas.microsoft.com/office/drawing/2014/main" id="{67DFCFE7-24B7-4871-B300-0C6A21E01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190500</xdr:colOff>
      <xdr:row>3</xdr:row>
      <xdr:rowOff>44824</xdr:rowOff>
    </xdr:from>
    <xdr:to>
      <xdr:col>22</xdr:col>
      <xdr:colOff>560294</xdr:colOff>
      <xdr:row>16</xdr:row>
      <xdr:rowOff>156881</xdr:rowOff>
    </xdr:to>
    <xdr:graphicFrame macro="">
      <xdr:nvGraphicFramePr>
        <xdr:cNvPr id="24" name="Chart 23">
          <a:extLst>
            <a:ext uri="{FF2B5EF4-FFF2-40B4-BE49-F238E27FC236}">
              <a16:creationId xmlns:a16="http://schemas.microsoft.com/office/drawing/2014/main" id="{592D06D1-DAE9-4B66-B277-B200A479A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HA DEVENDRAN" refreshedDate="46179.534629513888" backgroundQuery="1" createdVersion="8" refreshedVersion="8" minRefreshableVersion="3" recordCount="0" supportSubquery="1" supportAdvancedDrill="1" xr:uid="{C5C3E30D-2A88-4608-B52D-3F2D26ADFA0E}">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calls]" caption="5*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HA DEVENDRAN" refreshedDate="46179.620189814814" backgroundQuery="1" createdVersion="8" refreshedVersion="8" minRefreshableVersion="3" recordCount="0" supportSubquery="1" supportAdvancedDrill="1" xr:uid="{1C42EA4C-9ED5-4694-BB58-D0FF6581E6A8}">
  <cacheSource type="external" connectionId="1"/>
  <cacheFields count="3">
    <cacheField name="[calls].[Representative].[Representative]" caption="Representative" numFmtId="0" hierarchy="3" level="1">
      <sharedItems count="5">
        <s v="R01"/>
        <s v="R02"/>
        <s v="R03"/>
        <s v="R04"/>
        <s v="R05"/>
      </sharedItems>
    </cacheField>
    <cacheField name="[Measures].[Count of Call number]" caption="Count of Call number" numFmtId="0" hierarchy="25"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HA DEVENDRAN" refreshedDate="46179.673199305558" backgroundQuery="1" createdVersion="8" refreshedVersion="8" minRefreshableVersion="3" recordCount="0" supportSubquery="1" supportAdvancedDrill="1" xr:uid="{E92DAC01-50B9-4909-8293-6B5156711548}">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HA DEVENDRAN" refreshedDate="46179.691542708337" backgroundQuery="1" createdVersion="8" refreshedVersion="8" minRefreshableVersion="3" recordCount="0" supportSubquery="1" supportAdvancedDrill="1" xr:uid="{7E56FFD0-F907-4715-BCFD-FE81DA520CB5}">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HA DEVENDRAN" refreshedDate="46179.743560185183" backgroundQuery="1" createdVersion="8" refreshedVersion="8" minRefreshableVersion="3" recordCount="0" supportSubquery="1" supportAdvancedDrill="1" xr:uid="{16A21541-89E6-45E3-A4D9-93B0AE5D2665}">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HA DEVENDRAN" refreshedDate="46179.743560763891" backgroundQuery="1" createdVersion="8" refreshedVersion="8" minRefreshableVersion="3" recordCount="0" supportSubquery="1" supportAdvancedDrill="1" xr:uid="{B4622833-E063-43DC-B2E3-1CB016A31053}">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HA DEVENDRAN" refreshedDate="46179.743561226853" backgroundQuery="1" createdVersion="8" refreshedVersion="8" minRefreshableVersion="3" recordCount="0" supportSubquery="1" supportAdvancedDrill="1" xr:uid="{155DED0B-7164-46B5-971A-F3A950CC2EE2}">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HA DEVENDRAN" refreshedDate="46179.743561689815" backgroundQuery="1" createdVersion="8" refreshedVersion="8" minRefreshableVersion="3" recordCount="0" supportSubquery="1" supportAdvancedDrill="1" xr:uid="{AEFA6A49-545D-4140-8DC9-E046370AFD8A}">
  <cacheSource type="external" connectionId="1"/>
  <cacheFields count="1">
    <cacheField name="[calls].[Representative].[Representative]" caption="Representative" numFmtId="0" hierarchy="3" level="1">
      <sharedItems count="1">
        <s v="R01"/>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HA DEVENDRAN" refreshedDate="46179.743562037038" backgroundQuery="1" createdVersion="8" refreshedVersion="8" minRefreshableVersion="3" recordCount="0" supportSubquery="1" supportAdvancedDrill="1" xr:uid="{18187177-A542-4BCD-9636-736051A6E8DD}">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HA DEVENDRAN" refreshedDate="46179.534624768516" backgroundQuery="1" createdVersion="3" refreshedVersion="8" minRefreshableVersion="3" recordCount="0" supportSubquery="1" supportAdvancedDrill="1" xr:uid="{69114F23-23F3-48B3-869A-18D9B90E6F62}">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022045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9ADCEB-DB93-4CAE-A859-BC596E45E7E1}"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4:E59"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1F3340-12AB-4FFD-866F-A4283184F895}"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5A71D0-C1BB-4841-A9E0-ED0C8EFECF93}" name="rep pivo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E1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4F3098-D6F0-44C1-916F-4540EFABC538}" name="selected rep" cacheId="7"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location ref="B48:B49"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5">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6B4360-26B5-42E5-8A5A-0A72C3197B7C}" name="reps pivot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C43"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Count of Call number"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DC9771-E44E-4C0C-86F6-7BA07CA836E2}" name="weekl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I20:J28" firstHeaderRow="1" firstDataRow="1" firstDataCol="1"/>
  <pivotFields count="3">
    <pivotField axis="axisRow" allDrilled="1" subtotalTop="0" showAll="0"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8">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0"/>
          </reference>
        </references>
      </pivotArea>
    </chartFormat>
    <chartFormat chart="10" format="4">
      <pivotArea type="data" outline="0" fieldPosition="0">
        <references count="2">
          <reference field="4294967294" count="1" selected="0">
            <x v="0"/>
          </reference>
          <reference field="0" count="1" selected="0">
            <x v="1"/>
          </reference>
        </references>
      </pivotArea>
    </chartFormat>
    <chartFormat chart="10" format="5">
      <pivotArea type="data" outline="0" fieldPosition="0">
        <references count="2">
          <reference field="4294967294" count="1" selected="0">
            <x v="0"/>
          </reference>
          <reference field="0" count="1" selected="0">
            <x v="6"/>
          </reference>
        </references>
      </pivotArea>
    </chartFormat>
    <chartFormat chart="10" format="6">
      <pivotArea type="data" outline="0" fieldPosition="0">
        <references count="2">
          <reference field="4294967294" count="1" selected="0">
            <x v="0"/>
          </reference>
          <reference field="0" count="1" selected="0">
            <x v="2"/>
          </reference>
        </references>
      </pivotArea>
    </chartFormat>
    <chartFormat chart="10" format="7">
      <pivotArea type="data" outline="0" fieldPosition="0">
        <references count="2">
          <reference field="4294967294" count="1" selected="0">
            <x v="0"/>
          </reference>
          <reference field="0" count="1" selected="0">
            <x v="3"/>
          </reference>
        </references>
      </pivotArea>
    </chartFormat>
    <chartFormat chart="10" format="8">
      <pivotArea type="data" outline="0" fieldPosition="0">
        <references count="2">
          <reference field="4294967294" count="1" selected="0">
            <x v="0"/>
          </reference>
          <reference field="0" count="1" selected="0">
            <x v="4"/>
          </reference>
        </references>
      </pivotArea>
    </chartFormat>
    <chartFormat chart="10" format="9">
      <pivotArea type="data" outline="0" fieldPosition="0">
        <references count="2">
          <reference field="4294967294" count="1" selected="0">
            <x v="0"/>
          </reference>
          <reference field="0" count="1" selected="0">
            <x v="5"/>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A08E53-218D-4EE3-9E06-8ECC0FBA860D}" name="last pivot"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0">
  <location ref="B71:H90"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260D1B-3598-46DA-9DAA-54133AC7D696}" name="rep satisfaction"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B63:C6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332473-F6FA-43B2-8006-FAA3C59950C3}" name="Month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9:C3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3">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A person in a skirt and a cardigan
Description automatically generated</v>
  </rv>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B3E3383-061E-4A60-B992-FE9CCB727FF6}" sourceName="[calls].[Representative]">
  <pivotTables>
    <pivotTable tabId="6" name="rep pivot"/>
    <pivotTable tabId="6" name="Monthly trend"/>
    <pivotTable tabId="6" name="weekly trend"/>
    <pivotTable tabId="6" name="selected rep"/>
    <pivotTable tabId="6" name="rep satisfaction"/>
  </pivotTables>
  <data>
    <olap pivotCacheId="150220450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503E5202-026D-4D1D-BC8E-D079B28F6197}" cache="Slicer_Representative" caption="Representative" level="1" style="SlicerStyleDark5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32581-FB40-4D0F-9661-56A6174ABAA9}">
  <dimension ref="A1:AM231"/>
  <sheetViews>
    <sheetView tabSelected="1" zoomScale="50" workbookViewId="0">
      <selection activeCell="Y3" sqref="Y3"/>
    </sheetView>
  </sheetViews>
  <sheetFormatPr defaultRowHeight="15" x14ac:dyDescent="0.25"/>
  <cols>
    <col min="1" max="1" width="4.7109375" customWidth="1"/>
    <col min="16" max="16" width="11.28515625" customWidth="1"/>
  </cols>
  <sheetData>
    <row r="1" spans="1:39" ht="35.25" customHeight="1" x14ac:dyDescent="0.5">
      <c r="A1" s="41" t="s">
        <v>1085</v>
      </c>
      <c r="B1" s="42"/>
      <c r="C1" s="42"/>
      <c r="D1" s="42"/>
      <c r="E1" s="42"/>
      <c r="F1" s="42"/>
      <c r="G1" s="42"/>
      <c r="H1" s="42"/>
      <c r="I1" s="42"/>
      <c r="J1" s="42"/>
      <c r="K1" s="42"/>
      <c r="L1" s="42"/>
      <c r="M1" s="42"/>
      <c r="N1" s="42"/>
      <c r="O1" s="42"/>
      <c r="P1" s="42"/>
      <c r="Q1" s="42"/>
      <c r="R1" s="42"/>
      <c r="S1" s="42"/>
      <c r="T1" s="42"/>
      <c r="U1" s="42"/>
      <c r="V1" s="42"/>
      <c r="W1" s="42"/>
      <c r="X1" s="42"/>
      <c r="Y1" s="42"/>
      <c r="Z1" s="42"/>
      <c r="AA1" s="42"/>
      <c r="AB1" s="20"/>
      <c r="AC1" s="20"/>
      <c r="AD1" s="20"/>
      <c r="AE1" s="20"/>
      <c r="AF1" s="20"/>
      <c r="AG1" s="20"/>
      <c r="AH1" s="20"/>
      <c r="AI1" s="20"/>
      <c r="AJ1" s="20"/>
      <c r="AK1" s="20"/>
      <c r="AL1" s="20"/>
      <c r="AM1" s="20"/>
    </row>
    <row r="2" spans="1:39" x14ac:dyDescent="0.2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row>
    <row r="3" spans="1:39" x14ac:dyDescent="0.2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row>
    <row r="4" spans="1:39" x14ac:dyDescent="0.2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row>
    <row r="5" spans="1:39" x14ac:dyDescent="0.2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row>
    <row r="6" spans="1:39" x14ac:dyDescent="0.2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row>
    <row r="7" spans="1:39" x14ac:dyDescent="0.2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row>
    <row r="8" spans="1:39" x14ac:dyDescent="0.2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row>
    <row r="9" spans="1:39" x14ac:dyDescent="0.2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row>
    <row r="10" spans="1:39" x14ac:dyDescent="0.2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row>
    <row r="11" spans="1:39" x14ac:dyDescent="0.2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row>
    <row r="12" spans="1:39" x14ac:dyDescent="0.2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row>
    <row r="13" spans="1:39" x14ac:dyDescent="0.2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row>
    <row r="14" spans="1:39" x14ac:dyDescent="0.2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row>
    <row r="15" spans="1:39" ht="8.25" customHeight="1" x14ac:dyDescent="0.2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row>
    <row r="16" spans="1:39" ht="4.5" customHeight="1" x14ac:dyDescent="0.2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row>
    <row r="17" spans="1:39" x14ac:dyDescent="0.2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row>
    <row r="18" spans="1:39" x14ac:dyDescent="0.2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row>
    <row r="19" spans="1:39" x14ac:dyDescent="0.25">
      <c r="A19" s="20"/>
      <c r="B19" s="20"/>
      <c r="C19" s="20"/>
      <c r="D19" s="20"/>
      <c r="E19" s="20"/>
      <c r="F19" s="20"/>
      <c r="G19" s="20"/>
      <c r="H19" s="20"/>
      <c r="I19" s="20"/>
      <c r="J19" s="20"/>
      <c r="K19" s="20"/>
      <c r="L19" s="20"/>
      <c r="M19" s="20"/>
      <c r="N19" s="20"/>
      <c r="O19" s="20"/>
      <c r="P19" s="29"/>
      <c r="Q19" s="38" t="str" cm="1">
        <f t="array" ref="Q19:U19">pivot!C72:G72</f>
        <v>R01</v>
      </c>
      <c r="R19" s="38" t="str">
        <v>R02</v>
      </c>
      <c r="S19" s="38" t="str">
        <v>R03</v>
      </c>
      <c r="T19" s="38" t="str">
        <v>R04</v>
      </c>
      <c r="U19" s="38" t="str">
        <v>R05</v>
      </c>
      <c r="V19" s="39" t="s">
        <v>1078</v>
      </c>
      <c r="W19" s="20"/>
      <c r="X19" s="20"/>
      <c r="Y19" s="20"/>
      <c r="Z19" s="20"/>
      <c r="AA19" s="20"/>
      <c r="AB19" s="20"/>
      <c r="AC19" s="20"/>
      <c r="AD19" s="20"/>
      <c r="AE19" s="20"/>
      <c r="AF19" s="20"/>
      <c r="AG19" s="20"/>
      <c r="AH19" s="20"/>
      <c r="AI19" s="20"/>
      <c r="AJ19" s="20"/>
      <c r="AK19" s="20"/>
      <c r="AL19" s="20"/>
      <c r="AM19" s="20"/>
    </row>
    <row r="20" spans="1:39" x14ac:dyDescent="0.25">
      <c r="A20" s="20"/>
      <c r="B20" s="20"/>
      <c r="C20" s="20"/>
      <c r="D20" s="20"/>
      <c r="E20" s="20"/>
      <c r="F20" s="20"/>
      <c r="G20" s="20"/>
      <c r="H20" s="20"/>
      <c r="I20" s="20"/>
      <c r="J20" s="20"/>
      <c r="K20" s="20"/>
      <c r="L20" s="20"/>
      <c r="M20" s="20"/>
      <c r="N20" s="20"/>
      <c r="O20" s="20"/>
      <c r="P20" s="40" t="str" cm="1">
        <f t="array" ref="P20:V37">IF(pivot!B73:H90 = "","",pivot!B73:H90)</f>
        <v>Cincinnati</v>
      </c>
      <c r="Q20" s="30" t="str">
        <v/>
      </c>
      <c r="R20" s="30" t="str">
        <v/>
      </c>
      <c r="S20" s="30" t="str">
        <v/>
      </c>
      <c r="T20" s="30" t="str">
        <v/>
      </c>
      <c r="U20" s="30" t="str">
        <v/>
      </c>
      <c r="V20" s="31" t="str">
        <v/>
      </c>
      <c r="W20" s="20"/>
      <c r="X20" s="20"/>
      <c r="Y20" s="20"/>
      <c r="Z20" s="20"/>
      <c r="AA20" s="20"/>
      <c r="AB20" s="20"/>
      <c r="AC20" s="20"/>
      <c r="AD20" s="20"/>
      <c r="AE20" s="20"/>
      <c r="AF20" s="20"/>
      <c r="AG20" s="20"/>
      <c r="AH20" s="20"/>
      <c r="AI20" s="20"/>
      <c r="AJ20" s="20"/>
      <c r="AK20" s="20"/>
      <c r="AL20" s="20"/>
      <c r="AM20" s="20"/>
    </row>
    <row r="21" spans="1:39" x14ac:dyDescent="0.25">
      <c r="A21" s="20"/>
      <c r="B21" s="20"/>
      <c r="C21" s="20"/>
      <c r="D21" s="20"/>
      <c r="E21" s="20"/>
      <c r="F21" s="20"/>
      <c r="G21" s="20"/>
      <c r="H21" s="20"/>
      <c r="I21" s="20"/>
      <c r="J21" s="20"/>
      <c r="K21" s="20"/>
      <c r="L21" s="20"/>
      <c r="M21" s="20"/>
      <c r="N21" s="20"/>
      <c r="O21" s="20"/>
      <c r="P21" s="32" t="str">
        <v>C0003</v>
      </c>
      <c r="Q21" s="33">
        <v>891</v>
      </c>
      <c r="R21" s="33">
        <v>1332</v>
      </c>
      <c r="S21" s="33">
        <v>1282</v>
      </c>
      <c r="T21" s="33">
        <v>739</v>
      </c>
      <c r="U21" s="33">
        <v>560</v>
      </c>
      <c r="V21" s="34">
        <v>4804</v>
      </c>
      <c r="W21" s="20"/>
      <c r="X21" s="20"/>
      <c r="Y21" s="20"/>
      <c r="Z21" s="20"/>
      <c r="AA21" s="20"/>
      <c r="AB21" s="20"/>
      <c r="AC21" s="20"/>
      <c r="AD21" s="20"/>
      <c r="AE21" s="20"/>
      <c r="AF21" s="20"/>
      <c r="AG21" s="20"/>
      <c r="AH21" s="20"/>
      <c r="AI21" s="20"/>
      <c r="AJ21" s="20"/>
      <c r="AK21" s="20"/>
      <c r="AL21" s="20"/>
      <c r="AM21" s="20"/>
    </row>
    <row r="22" spans="1:39" x14ac:dyDescent="0.25">
      <c r="A22" s="20"/>
      <c r="B22" s="20"/>
      <c r="C22" s="20"/>
      <c r="D22" s="20"/>
      <c r="E22" s="20"/>
      <c r="F22" s="20"/>
      <c r="G22" s="20"/>
      <c r="H22" s="20"/>
      <c r="I22" s="20"/>
      <c r="J22" s="20"/>
      <c r="K22" s="20"/>
      <c r="L22" s="20"/>
      <c r="M22" s="20"/>
      <c r="N22" s="20"/>
      <c r="O22" s="20"/>
      <c r="P22" s="32" t="str">
        <v>C0004</v>
      </c>
      <c r="Q22" s="33">
        <v>1991</v>
      </c>
      <c r="R22" s="33">
        <v>1886</v>
      </c>
      <c r="S22" s="33">
        <v>1206</v>
      </c>
      <c r="T22" s="33">
        <v>884</v>
      </c>
      <c r="U22" s="33">
        <v>1722</v>
      </c>
      <c r="V22" s="34">
        <v>7689</v>
      </c>
      <c r="W22" s="20"/>
      <c r="X22" s="20"/>
      <c r="Y22" s="20"/>
      <c r="Z22" s="20"/>
      <c r="AA22" s="20"/>
      <c r="AB22" s="20"/>
      <c r="AC22" s="20"/>
      <c r="AD22" s="20"/>
      <c r="AE22" s="20"/>
      <c r="AF22" s="20"/>
      <c r="AG22" s="20"/>
      <c r="AH22" s="20"/>
      <c r="AI22" s="20"/>
      <c r="AJ22" s="20"/>
      <c r="AK22" s="20"/>
      <c r="AL22" s="20"/>
      <c r="AM22" s="20"/>
    </row>
    <row r="23" spans="1:39" x14ac:dyDescent="0.25">
      <c r="A23" s="20"/>
      <c r="B23" s="20"/>
      <c r="C23" s="20"/>
      <c r="D23" s="20"/>
      <c r="E23" s="20"/>
      <c r="F23" s="20"/>
      <c r="G23" s="20"/>
      <c r="H23" s="20"/>
      <c r="I23" s="20"/>
      <c r="J23" s="20"/>
      <c r="K23" s="20"/>
      <c r="L23" s="20"/>
      <c r="M23" s="20"/>
      <c r="N23" s="20"/>
      <c r="O23" s="20"/>
      <c r="P23" s="32" t="str">
        <v>C0011</v>
      </c>
      <c r="Q23" s="33">
        <v>1163</v>
      </c>
      <c r="R23" s="33">
        <v>1180</v>
      </c>
      <c r="S23" s="33">
        <v>1616</v>
      </c>
      <c r="T23" s="33">
        <v>1043</v>
      </c>
      <c r="U23" s="33">
        <v>1747</v>
      </c>
      <c r="V23" s="34">
        <v>6749</v>
      </c>
      <c r="W23" s="20"/>
      <c r="X23" s="20"/>
      <c r="Y23" s="20"/>
      <c r="Z23" s="20"/>
      <c r="AA23" s="20"/>
      <c r="AB23" s="20"/>
      <c r="AC23" s="20"/>
      <c r="AD23" s="20"/>
      <c r="AE23" s="20"/>
      <c r="AF23" s="20"/>
      <c r="AG23" s="20"/>
      <c r="AH23" s="20"/>
      <c r="AI23" s="20"/>
      <c r="AJ23" s="20"/>
      <c r="AK23" s="20"/>
      <c r="AL23" s="20"/>
      <c r="AM23" s="20"/>
    </row>
    <row r="24" spans="1:39" x14ac:dyDescent="0.25">
      <c r="A24" s="20"/>
      <c r="B24" s="20"/>
      <c r="C24" s="20"/>
      <c r="D24" s="20"/>
      <c r="E24" s="20"/>
      <c r="F24" s="20"/>
      <c r="G24" s="20"/>
      <c r="H24" s="20"/>
      <c r="I24" s="20"/>
      <c r="J24" s="20"/>
      <c r="K24" s="20"/>
      <c r="L24" s="20"/>
      <c r="M24" s="20"/>
      <c r="N24" s="20"/>
      <c r="O24" s="20"/>
      <c r="P24" s="32" t="str">
        <v>C0012</v>
      </c>
      <c r="Q24" s="33">
        <v>1438</v>
      </c>
      <c r="R24" s="33">
        <v>1616</v>
      </c>
      <c r="S24" s="33">
        <v>866</v>
      </c>
      <c r="T24" s="33">
        <v>829</v>
      </c>
      <c r="U24" s="33">
        <v>2070</v>
      </c>
      <c r="V24" s="34">
        <v>6819</v>
      </c>
      <c r="W24" s="20"/>
      <c r="X24" s="20"/>
      <c r="Y24" s="20"/>
      <c r="Z24" s="20"/>
      <c r="AA24" s="20"/>
      <c r="AB24" s="20"/>
      <c r="AC24" s="20"/>
      <c r="AD24" s="20"/>
      <c r="AE24" s="20"/>
      <c r="AF24" s="20"/>
      <c r="AG24" s="20"/>
      <c r="AH24" s="20"/>
      <c r="AI24" s="20"/>
      <c r="AJ24" s="20"/>
      <c r="AK24" s="20"/>
      <c r="AL24" s="20"/>
      <c r="AM24" s="20"/>
    </row>
    <row r="25" spans="1:39" x14ac:dyDescent="0.25">
      <c r="A25" s="20"/>
      <c r="B25" s="20"/>
      <c r="C25" s="20"/>
      <c r="D25" s="20"/>
      <c r="E25" s="20"/>
      <c r="F25" s="20"/>
      <c r="G25" s="20"/>
      <c r="H25" s="20"/>
      <c r="I25" s="20"/>
      <c r="J25" s="20"/>
      <c r="K25" s="20"/>
      <c r="L25" s="20"/>
      <c r="M25" s="20"/>
      <c r="N25" s="20"/>
      <c r="O25" s="20"/>
      <c r="P25" s="40" t="str">
        <v>Cleveland</v>
      </c>
      <c r="Q25" s="33" t="str">
        <v/>
      </c>
      <c r="R25" s="33" t="str">
        <v/>
      </c>
      <c r="S25" s="33" t="str">
        <v/>
      </c>
      <c r="T25" s="33" t="str">
        <v/>
      </c>
      <c r="U25" s="33" t="str">
        <v/>
      </c>
      <c r="V25" s="34" t="str">
        <v/>
      </c>
      <c r="W25" s="20"/>
      <c r="X25" s="20"/>
      <c r="Y25" s="20"/>
      <c r="Z25" s="20"/>
      <c r="AA25" s="20"/>
      <c r="AB25" s="20"/>
      <c r="AC25" s="20"/>
      <c r="AD25" s="20"/>
      <c r="AE25" s="20"/>
      <c r="AF25" s="20"/>
      <c r="AG25" s="20"/>
      <c r="AH25" s="20"/>
      <c r="AI25" s="20"/>
      <c r="AJ25" s="20"/>
      <c r="AK25" s="20"/>
      <c r="AL25" s="20"/>
      <c r="AM25" s="20"/>
    </row>
    <row r="26" spans="1:39" x14ac:dyDescent="0.25">
      <c r="A26" s="20"/>
      <c r="B26" s="20"/>
      <c r="C26" s="20"/>
      <c r="D26" s="20"/>
      <c r="E26" s="20"/>
      <c r="F26" s="20"/>
      <c r="G26" s="20"/>
      <c r="H26" s="20"/>
      <c r="I26" s="20"/>
      <c r="J26" s="20"/>
      <c r="K26" s="20"/>
      <c r="L26" s="20"/>
      <c r="M26" s="20"/>
      <c r="N26" s="20"/>
      <c r="O26" s="20"/>
      <c r="P26" s="32" t="str">
        <v>C0002</v>
      </c>
      <c r="Q26" s="33">
        <v>1233</v>
      </c>
      <c r="R26" s="33">
        <v>223</v>
      </c>
      <c r="S26" s="33">
        <v>1680</v>
      </c>
      <c r="T26" s="33">
        <v>990</v>
      </c>
      <c r="U26" s="33">
        <v>1508</v>
      </c>
      <c r="V26" s="34">
        <v>5634</v>
      </c>
      <c r="W26" s="20"/>
      <c r="X26" s="20"/>
      <c r="Y26" s="20"/>
      <c r="Z26" s="20"/>
      <c r="AA26" s="20"/>
      <c r="AB26" s="20"/>
      <c r="AC26" s="20"/>
      <c r="AD26" s="20"/>
      <c r="AE26" s="20"/>
      <c r="AF26" s="20"/>
      <c r="AG26" s="20"/>
      <c r="AH26" s="20"/>
      <c r="AI26" s="20"/>
      <c r="AJ26" s="20"/>
      <c r="AK26" s="20"/>
      <c r="AL26" s="20"/>
      <c r="AM26" s="20"/>
    </row>
    <row r="27" spans="1:39" x14ac:dyDescent="0.25">
      <c r="A27" s="20"/>
      <c r="B27" s="20"/>
      <c r="C27" s="20"/>
      <c r="D27" s="20"/>
      <c r="E27" s="20"/>
      <c r="F27" s="20"/>
      <c r="G27" s="20"/>
      <c r="H27" s="20"/>
      <c r="I27" s="20"/>
      <c r="J27" s="20"/>
      <c r="K27" s="20"/>
      <c r="L27" s="20"/>
      <c r="M27" s="20"/>
      <c r="N27" s="20"/>
      <c r="O27" s="20"/>
      <c r="P27" s="32" t="str">
        <v>C0007</v>
      </c>
      <c r="Q27" s="33">
        <v>1598</v>
      </c>
      <c r="R27" s="33">
        <v>1907</v>
      </c>
      <c r="S27" s="33">
        <v>869</v>
      </c>
      <c r="T27" s="33">
        <v>1426</v>
      </c>
      <c r="U27" s="33">
        <v>1416</v>
      </c>
      <c r="V27" s="34">
        <v>7216</v>
      </c>
      <c r="W27" s="20"/>
      <c r="X27" s="20"/>
      <c r="Y27" s="20"/>
      <c r="Z27" s="20"/>
      <c r="AA27" s="20"/>
      <c r="AB27" s="20"/>
      <c r="AC27" s="20"/>
      <c r="AD27" s="20"/>
      <c r="AE27" s="20"/>
      <c r="AF27" s="20"/>
      <c r="AG27" s="20"/>
      <c r="AH27" s="20"/>
      <c r="AI27" s="20"/>
      <c r="AJ27" s="20"/>
      <c r="AK27" s="20"/>
      <c r="AL27" s="20"/>
      <c r="AM27" s="20"/>
    </row>
    <row r="28" spans="1:39" x14ac:dyDescent="0.25">
      <c r="A28" s="20"/>
      <c r="B28" s="20"/>
      <c r="C28" s="20"/>
      <c r="D28" s="20"/>
      <c r="E28" s="20"/>
      <c r="F28" s="20"/>
      <c r="G28" s="20"/>
      <c r="H28" s="20"/>
      <c r="I28" s="20"/>
      <c r="J28" s="20"/>
      <c r="K28" s="20"/>
      <c r="L28" s="43" t="e" vm="1">
        <f>pivot!J59</f>
        <v>#VALUE!</v>
      </c>
      <c r="M28" s="43"/>
      <c r="N28" s="43"/>
      <c r="O28" s="44"/>
      <c r="P28" s="32" t="str">
        <v>C0008</v>
      </c>
      <c r="Q28" s="33">
        <v>900</v>
      </c>
      <c r="R28" s="33">
        <v>1016</v>
      </c>
      <c r="S28" s="33">
        <v>960</v>
      </c>
      <c r="T28" s="33">
        <v>940</v>
      </c>
      <c r="U28" s="33">
        <v>1193</v>
      </c>
      <c r="V28" s="34">
        <v>5009</v>
      </c>
      <c r="W28" s="20"/>
      <c r="X28" s="20"/>
      <c r="Y28" s="20"/>
      <c r="Z28" s="20"/>
      <c r="AA28" s="20"/>
      <c r="AB28" s="20"/>
      <c r="AC28" s="20"/>
      <c r="AD28" s="20"/>
      <c r="AE28" s="20"/>
      <c r="AF28" s="20"/>
      <c r="AG28" s="20"/>
      <c r="AH28" s="20"/>
      <c r="AI28" s="20"/>
      <c r="AJ28" s="20"/>
      <c r="AK28" s="20"/>
      <c r="AL28" s="20"/>
      <c r="AM28" s="20"/>
    </row>
    <row r="29" spans="1:39" x14ac:dyDescent="0.25">
      <c r="A29" s="20"/>
      <c r="B29" s="20"/>
      <c r="C29" s="20"/>
      <c r="D29" s="20"/>
      <c r="E29" s="20"/>
      <c r="F29" s="20"/>
      <c r="G29" s="20"/>
      <c r="H29" s="20"/>
      <c r="I29" s="20"/>
      <c r="J29" s="20"/>
      <c r="K29" s="20"/>
      <c r="L29" s="43"/>
      <c r="M29" s="43"/>
      <c r="N29" s="43"/>
      <c r="O29" s="44"/>
      <c r="P29" s="32" t="str">
        <v>C0010</v>
      </c>
      <c r="Q29" s="33">
        <v>900</v>
      </c>
      <c r="R29" s="33">
        <v>1470</v>
      </c>
      <c r="S29" s="33">
        <v>1617</v>
      </c>
      <c r="T29" s="33">
        <v>1314</v>
      </c>
      <c r="U29" s="33">
        <v>941</v>
      </c>
      <c r="V29" s="34">
        <v>6242</v>
      </c>
      <c r="W29" s="20"/>
      <c r="X29" s="20"/>
      <c r="Y29" s="20"/>
      <c r="Z29" s="20"/>
      <c r="AA29" s="20"/>
      <c r="AB29" s="20"/>
      <c r="AC29" s="20"/>
      <c r="AD29" s="20"/>
      <c r="AE29" s="20"/>
      <c r="AF29" s="20"/>
      <c r="AG29" s="20"/>
      <c r="AH29" s="20"/>
      <c r="AI29" s="20"/>
      <c r="AJ29" s="20"/>
      <c r="AK29" s="20"/>
      <c r="AL29" s="20"/>
      <c r="AM29" s="20"/>
    </row>
    <row r="30" spans="1:39" x14ac:dyDescent="0.25">
      <c r="A30" s="20"/>
      <c r="B30" s="20"/>
      <c r="C30" s="20"/>
      <c r="D30" s="20"/>
      <c r="E30" s="20"/>
      <c r="F30" s="20"/>
      <c r="G30" s="20"/>
      <c r="H30" s="20"/>
      <c r="I30" s="20"/>
      <c r="J30" s="20"/>
      <c r="K30" s="20"/>
      <c r="L30" s="43"/>
      <c r="M30" s="43"/>
      <c r="N30" s="43"/>
      <c r="O30" s="44"/>
      <c r="P30" s="32" t="str">
        <v>C0013</v>
      </c>
      <c r="Q30" s="33">
        <v>1255</v>
      </c>
      <c r="R30" s="33">
        <v>516</v>
      </c>
      <c r="S30" s="33">
        <v>1874</v>
      </c>
      <c r="T30" s="33">
        <v>1863</v>
      </c>
      <c r="U30" s="33">
        <v>1722</v>
      </c>
      <c r="V30" s="34">
        <v>7230</v>
      </c>
      <c r="W30" s="20"/>
      <c r="X30" s="20"/>
      <c r="Y30" s="20"/>
      <c r="Z30" s="20"/>
      <c r="AA30" s="20"/>
      <c r="AB30" s="20"/>
      <c r="AC30" s="20"/>
      <c r="AD30" s="20"/>
      <c r="AE30" s="20"/>
      <c r="AF30" s="20"/>
      <c r="AG30" s="20"/>
      <c r="AH30" s="20"/>
      <c r="AI30" s="20"/>
      <c r="AJ30" s="20"/>
      <c r="AK30" s="20"/>
      <c r="AL30" s="20"/>
      <c r="AM30" s="20"/>
    </row>
    <row r="31" spans="1:39" x14ac:dyDescent="0.25">
      <c r="A31" s="20"/>
      <c r="B31" s="20"/>
      <c r="C31" s="20"/>
      <c r="D31" s="20"/>
      <c r="E31" s="20"/>
      <c r="F31" s="20"/>
      <c r="G31" s="20"/>
      <c r="H31" s="20"/>
      <c r="I31" s="20"/>
      <c r="J31" s="20"/>
      <c r="K31" s="20"/>
      <c r="L31" s="43"/>
      <c r="M31" s="43"/>
      <c r="N31" s="43"/>
      <c r="O31" s="44"/>
      <c r="P31" s="32" t="str">
        <v>C0015</v>
      </c>
      <c r="Q31" s="33">
        <v>1138</v>
      </c>
      <c r="R31" s="33">
        <v>1898</v>
      </c>
      <c r="S31" s="33">
        <v>1482</v>
      </c>
      <c r="T31" s="33">
        <v>846</v>
      </c>
      <c r="U31" s="33">
        <v>1154</v>
      </c>
      <c r="V31" s="34">
        <v>6518</v>
      </c>
      <c r="W31" s="20"/>
      <c r="X31" s="20"/>
      <c r="Y31" s="20"/>
      <c r="Z31" s="20"/>
      <c r="AA31" s="20"/>
      <c r="AB31" s="20"/>
      <c r="AC31" s="20"/>
      <c r="AD31" s="20"/>
      <c r="AE31" s="20"/>
      <c r="AF31" s="20"/>
      <c r="AG31" s="20"/>
      <c r="AH31" s="20"/>
      <c r="AI31" s="20"/>
      <c r="AJ31" s="20"/>
      <c r="AK31" s="20"/>
      <c r="AL31" s="20"/>
      <c r="AM31" s="20"/>
    </row>
    <row r="32" spans="1:39" x14ac:dyDescent="0.25">
      <c r="A32" s="20"/>
      <c r="B32" s="20"/>
      <c r="C32" s="20"/>
      <c r="D32" s="20"/>
      <c r="E32" s="20"/>
      <c r="F32" s="20"/>
      <c r="G32" s="20"/>
      <c r="H32" s="20"/>
      <c r="I32" s="20"/>
      <c r="J32" s="20"/>
      <c r="K32" s="20"/>
      <c r="L32" s="43"/>
      <c r="M32" s="43"/>
      <c r="N32" s="43"/>
      <c r="O32" s="44"/>
      <c r="P32" s="40" t="str">
        <v>Columbus</v>
      </c>
      <c r="Q32" s="33" t="str">
        <v/>
      </c>
      <c r="R32" s="33" t="str">
        <v/>
      </c>
      <c r="S32" s="33" t="str">
        <v/>
      </c>
      <c r="T32" s="33" t="str">
        <v/>
      </c>
      <c r="U32" s="33" t="str">
        <v/>
      </c>
      <c r="V32" s="34" t="str">
        <v/>
      </c>
      <c r="W32" s="20"/>
      <c r="X32" s="20"/>
      <c r="Y32" s="20"/>
      <c r="Z32" s="20"/>
      <c r="AA32" s="20"/>
      <c r="AB32" s="20"/>
      <c r="AC32" s="20"/>
      <c r="AD32" s="20"/>
      <c r="AE32" s="20"/>
      <c r="AF32" s="20"/>
      <c r="AG32" s="20"/>
      <c r="AH32" s="20"/>
      <c r="AI32" s="20"/>
      <c r="AJ32" s="20"/>
      <c r="AK32" s="20"/>
      <c r="AL32" s="20"/>
      <c r="AM32" s="20"/>
    </row>
    <row r="33" spans="1:39" x14ac:dyDescent="0.25">
      <c r="A33" s="20"/>
      <c r="B33" s="20"/>
      <c r="C33" s="20"/>
      <c r="D33" s="20"/>
      <c r="E33" s="20"/>
      <c r="F33" s="20"/>
      <c r="G33" s="20"/>
      <c r="H33" s="20"/>
      <c r="I33" s="20"/>
      <c r="J33" s="20"/>
      <c r="K33" s="20"/>
      <c r="L33" s="20"/>
      <c r="M33" s="45" t="str">
        <f>pivot!J55</f>
        <v>% of calls:19%</v>
      </c>
      <c r="N33" s="45"/>
      <c r="O33" s="20"/>
      <c r="P33" s="32" t="str">
        <v>C0001</v>
      </c>
      <c r="Q33" s="33">
        <v>1655</v>
      </c>
      <c r="R33" s="33">
        <v>805</v>
      </c>
      <c r="S33" s="33">
        <v>2263</v>
      </c>
      <c r="T33" s="33">
        <v>987</v>
      </c>
      <c r="U33" s="33">
        <v>1075</v>
      </c>
      <c r="V33" s="34">
        <v>6785</v>
      </c>
      <c r="W33" s="20"/>
      <c r="X33" s="20"/>
      <c r="Y33" s="20"/>
      <c r="Z33" s="20"/>
      <c r="AA33" s="20"/>
      <c r="AB33" s="20"/>
      <c r="AC33" s="20"/>
      <c r="AD33" s="20"/>
      <c r="AE33" s="20"/>
      <c r="AF33" s="20"/>
      <c r="AG33" s="20"/>
      <c r="AH33" s="20"/>
      <c r="AI33" s="20"/>
      <c r="AJ33" s="20"/>
      <c r="AK33" s="20"/>
      <c r="AL33" s="20"/>
      <c r="AM33" s="20"/>
    </row>
    <row r="34" spans="1:39" x14ac:dyDescent="0.25">
      <c r="A34" s="20"/>
      <c r="B34" s="20"/>
      <c r="C34" s="20"/>
      <c r="D34" s="20"/>
      <c r="E34" s="20"/>
      <c r="F34" s="20"/>
      <c r="G34" s="20"/>
      <c r="H34" s="20"/>
      <c r="I34" s="20"/>
      <c r="J34" s="20"/>
      <c r="K34" s="20"/>
      <c r="L34" s="20"/>
      <c r="M34" s="45" t="str">
        <f>pivot!J56</f>
        <v>call rank:4</v>
      </c>
      <c r="N34" s="45"/>
      <c r="O34" s="20"/>
      <c r="P34" s="32" t="str">
        <v>C0005</v>
      </c>
      <c r="Q34" s="33">
        <v>1104</v>
      </c>
      <c r="R34" s="33">
        <v>2280</v>
      </c>
      <c r="S34" s="33">
        <v>1445</v>
      </c>
      <c r="T34" s="33">
        <v>1722</v>
      </c>
      <c r="U34" s="33">
        <v>1196</v>
      </c>
      <c r="V34" s="34">
        <v>7747</v>
      </c>
      <c r="W34" s="20"/>
      <c r="X34" s="20"/>
      <c r="Y34" s="20"/>
      <c r="Z34" s="20"/>
      <c r="AA34" s="20"/>
      <c r="AB34" s="20"/>
      <c r="AC34" s="20"/>
      <c r="AD34" s="20"/>
      <c r="AE34" s="20"/>
      <c r="AF34" s="20"/>
      <c r="AG34" s="20"/>
      <c r="AH34" s="20"/>
      <c r="AI34" s="20"/>
      <c r="AJ34" s="20"/>
      <c r="AK34" s="20"/>
      <c r="AL34" s="20"/>
      <c r="AM34" s="20"/>
    </row>
    <row r="35" spans="1:39" x14ac:dyDescent="0.25">
      <c r="A35" s="20"/>
      <c r="B35" s="20"/>
      <c r="C35" s="20"/>
      <c r="D35" s="20"/>
      <c r="E35" s="20"/>
      <c r="F35" s="20"/>
      <c r="G35" s="20"/>
      <c r="H35" s="20"/>
      <c r="I35" s="20"/>
      <c r="J35" s="20"/>
      <c r="K35" s="20"/>
      <c r="L35" s="20"/>
      <c r="M35" s="45" t="str">
        <f>pivot!J57</f>
        <v>Amount rank:4</v>
      </c>
      <c r="N35" s="45"/>
      <c r="O35" s="20"/>
      <c r="P35" s="32" t="str">
        <v>C0006</v>
      </c>
      <c r="Q35" s="33">
        <v>372</v>
      </c>
      <c r="R35" s="33">
        <v>1818</v>
      </c>
      <c r="S35" s="33">
        <v>1346</v>
      </c>
      <c r="T35" s="33">
        <v>1156</v>
      </c>
      <c r="U35" s="33">
        <v>1484</v>
      </c>
      <c r="V35" s="34">
        <v>6176</v>
      </c>
      <c r="W35" s="20"/>
      <c r="X35" s="20"/>
      <c r="Y35" s="20"/>
      <c r="Z35" s="20"/>
      <c r="AA35" s="20"/>
      <c r="AB35" s="20"/>
      <c r="AC35" s="20"/>
      <c r="AD35" s="20"/>
      <c r="AE35" s="20"/>
      <c r="AF35" s="20"/>
      <c r="AG35" s="20"/>
      <c r="AH35" s="20"/>
      <c r="AI35" s="20"/>
      <c r="AJ35" s="20"/>
      <c r="AK35" s="20"/>
      <c r="AL35" s="20"/>
      <c r="AM35" s="20"/>
    </row>
    <row r="36" spans="1:39" x14ac:dyDescent="0.25">
      <c r="A36" s="20"/>
      <c r="B36" s="20"/>
      <c r="C36" s="20"/>
      <c r="D36" s="20"/>
      <c r="E36" s="20"/>
      <c r="F36" s="20"/>
      <c r="G36" s="20"/>
      <c r="H36" s="20"/>
      <c r="I36" s="20"/>
      <c r="J36" s="20"/>
      <c r="K36" s="20"/>
      <c r="L36" s="20"/>
      <c r="M36" s="20"/>
      <c r="N36" s="20"/>
      <c r="O36" s="20"/>
      <c r="P36" s="32" t="str">
        <v>C0009</v>
      </c>
      <c r="Q36" s="33">
        <v>1415</v>
      </c>
      <c r="R36" s="33">
        <v>1271</v>
      </c>
      <c r="S36" s="33">
        <v>1214</v>
      </c>
      <c r="T36" s="33">
        <v>1135</v>
      </c>
      <c r="U36" s="33">
        <v>1566</v>
      </c>
      <c r="V36" s="34">
        <v>6601</v>
      </c>
      <c r="W36" s="20"/>
      <c r="X36" s="20"/>
      <c r="Y36" s="20"/>
      <c r="Z36" s="20"/>
      <c r="AA36" s="20"/>
      <c r="AB36" s="20"/>
      <c r="AC36" s="20"/>
      <c r="AD36" s="20"/>
      <c r="AE36" s="20"/>
      <c r="AF36" s="20"/>
      <c r="AG36" s="20"/>
      <c r="AH36" s="20"/>
      <c r="AI36" s="20"/>
      <c r="AJ36" s="20"/>
      <c r="AK36" s="20"/>
      <c r="AL36" s="20"/>
      <c r="AM36" s="20"/>
    </row>
    <row r="37" spans="1:39" x14ac:dyDescent="0.25">
      <c r="A37" s="20"/>
      <c r="B37" s="20"/>
      <c r="C37" s="20"/>
      <c r="D37" s="20"/>
      <c r="E37" s="20"/>
      <c r="F37" s="20"/>
      <c r="G37" s="20"/>
      <c r="H37" s="20"/>
      <c r="I37" s="20"/>
      <c r="J37" s="20"/>
      <c r="K37" s="20"/>
      <c r="L37" s="20"/>
      <c r="M37" s="20"/>
      <c r="N37" s="20"/>
      <c r="O37" s="20"/>
      <c r="P37" s="35" t="str">
        <v>C0014</v>
      </c>
      <c r="Q37" s="36">
        <v>1362</v>
      </c>
      <c r="R37" s="36">
        <v>1363</v>
      </c>
      <c r="S37" s="36">
        <v>1152</v>
      </c>
      <c r="T37" s="36">
        <v>777</v>
      </c>
      <c r="U37" s="36">
        <v>750</v>
      </c>
      <c r="V37" s="37">
        <v>5404</v>
      </c>
      <c r="W37" s="20"/>
      <c r="X37" s="20"/>
      <c r="Y37" s="20"/>
      <c r="Z37" s="20"/>
      <c r="AA37" s="20"/>
      <c r="AB37" s="20"/>
      <c r="AC37" s="20"/>
      <c r="AD37" s="20"/>
      <c r="AE37" s="20"/>
      <c r="AF37" s="20"/>
      <c r="AG37" s="20"/>
      <c r="AH37" s="20"/>
      <c r="AI37" s="20"/>
      <c r="AJ37" s="20"/>
      <c r="AK37" s="20"/>
      <c r="AL37" s="20"/>
      <c r="AM37" s="20"/>
    </row>
    <row r="38" spans="1:39"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row>
    <row r="39" spans="1:39"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row>
    <row r="40" spans="1:39"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row>
    <row r="41" spans="1:39" x14ac:dyDescent="0.2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row>
    <row r="42" spans="1:39"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row>
    <row r="43" spans="1:39" x14ac:dyDescent="0.2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row>
    <row r="44" spans="1:39" x14ac:dyDescent="0.2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row>
    <row r="45" spans="1:39" x14ac:dyDescent="0.2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row>
    <row r="46" spans="1:39" x14ac:dyDescent="0.2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row>
    <row r="47" spans="1:39" x14ac:dyDescent="0.2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row>
    <row r="48" spans="1:39" x14ac:dyDescent="0.2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row>
    <row r="49" spans="1:39" x14ac:dyDescent="0.2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row>
    <row r="50" spans="1:39" x14ac:dyDescent="0.2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row>
    <row r="51" spans="1:39" x14ac:dyDescent="0.25">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row>
    <row r="52" spans="1:39" x14ac:dyDescent="0.2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row>
    <row r="53" spans="1:39" x14ac:dyDescent="0.2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row>
    <row r="54" spans="1:39" x14ac:dyDescent="0.25">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row>
    <row r="55" spans="1:39" x14ac:dyDescent="0.2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row>
    <row r="56" spans="1:39" x14ac:dyDescent="0.2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row>
    <row r="57" spans="1:39" x14ac:dyDescent="0.2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row>
    <row r="58" spans="1:39" x14ac:dyDescent="0.25">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row>
    <row r="59" spans="1:39" x14ac:dyDescent="0.25">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row>
    <row r="60" spans="1:39" x14ac:dyDescent="0.25">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row>
    <row r="61" spans="1:39" x14ac:dyDescent="0.25">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row>
    <row r="62" spans="1:39" x14ac:dyDescent="0.25">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row>
    <row r="63" spans="1:39" x14ac:dyDescent="0.25">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row>
    <row r="64" spans="1:39" x14ac:dyDescent="0.25">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row>
    <row r="65" spans="1:39" x14ac:dyDescent="0.2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row>
    <row r="66" spans="1:39" x14ac:dyDescent="0.25">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row>
    <row r="67" spans="1:39" x14ac:dyDescent="0.25">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row>
    <row r="68" spans="1:39" x14ac:dyDescent="0.25">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row>
    <row r="69" spans="1:39" x14ac:dyDescent="0.25">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row>
    <row r="70" spans="1:39" x14ac:dyDescent="0.25">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row>
    <row r="71" spans="1:39" x14ac:dyDescent="0.25">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row>
    <row r="72" spans="1:39" x14ac:dyDescent="0.25">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row>
    <row r="73" spans="1:39" x14ac:dyDescent="0.25">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row>
    <row r="74" spans="1:39" x14ac:dyDescent="0.25">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row>
    <row r="75" spans="1:39" x14ac:dyDescent="0.2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row>
    <row r="76" spans="1:39" x14ac:dyDescent="0.25">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row>
    <row r="77" spans="1:39" x14ac:dyDescent="0.25">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row>
    <row r="78" spans="1:39" x14ac:dyDescent="0.25">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row>
    <row r="79" spans="1:39" x14ac:dyDescent="0.25">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row>
    <row r="80" spans="1:39" x14ac:dyDescent="0.25">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row>
    <row r="81" spans="1:39" x14ac:dyDescent="0.25">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row>
    <row r="82" spans="1:39" x14ac:dyDescent="0.25">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row>
    <row r="83" spans="1:39" x14ac:dyDescent="0.25">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row>
    <row r="84" spans="1:39" x14ac:dyDescent="0.25">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row>
    <row r="85" spans="1:39" x14ac:dyDescent="0.2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row>
    <row r="86" spans="1:39" x14ac:dyDescent="0.25">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row>
    <row r="87" spans="1:39" x14ac:dyDescent="0.25">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row>
    <row r="88" spans="1:39" x14ac:dyDescent="0.25">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row>
    <row r="89" spans="1:39" x14ac:dyDescent="0.25">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row>
    <row r="90" spans="1:39" x14ac:dyDescent="0.25">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row>
    <row r="91" spans="1:39" x14ac:dyDescent="0.25">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row>
    <row r="92" spans="1:39" x14ac:dyDescent="0.25">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row>
    <row r="93" spans="1:39" x14ac:dyDescent="0.25">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row>
    <row r="94" spans="1:39" x14ac:dyDescent="0.25">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row>
    <row r="95" spans="1:39" x14ac:dyDescent="0.2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row>
    <row r="96" spans="1:39" x14ac:dyDescent="0.25">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row>
    <row r="97" spans="1:39" x14ac:dyDescent="0.25">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row>
    <row r="98" spans="1:39" x14ac:dyDescent="0.25">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row>
    <row r="99" spans="1:39" x14ac:dyDescent="0.25">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row>
    <row r="100" spans="1:39" x14ac:dyDescent="0.25">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row>
    <row r="101" spans="1:39" x14ac:dyDescent="0.25">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row>
    <row r="102" spans="1:39" x14ac:dyDescent="0.25">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row>
    <row r="103" spans="1:39" x14ac:dyDescent="0.25">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row>
    <row r="104" spans="1:39" x14ac:dyDescent="0.25">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row>
    <row r="105" spans="1:39" x14ac:dyDescent="0.2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row>
    <row r="106" spans="1:39" x14ac:dyDescent="0.25">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row>
    <row r="107" spans="1:39" x14ac:dyDescent="0.25">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row>
    <row r="108" spans="1:39" x14ac:dyDescent="0.25">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row>
    <row r="109" spans="1:39" x14ac:dyDescent="0.25">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row>
    <row r="110" spans="1:39" x14ac:dyDescent="0.25">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row>
    <row r="111" spans="1:39" x14ac:dyDescent="0.25">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row>
    <row r="112" spans="1:39" x14ac:dyDescent="0.25">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row>
    <row r="113" spans="1:39" x14ac:dyDescent="0.25">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row>
    <row r="114" spans="1:39" x14ac:dyDescent="0.25">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row>
    <row r="115" spans="1:39" x14ac:dyDescent="0.2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row>
    <row r="116" spans="1:39" x14ac:dyDescent="0.25">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row>
    <row r="117" spans="1:39" x14ac:dyDescent="0.25">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row>
    <row r="118" spans="1:39" x14ac:dyDescent="0.25">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row>
    <row r="119" spans="1:39" x14ac:dyDescent="0.25">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row>
    <row r="120" spans="1:39" x14ac:dyDescent="0.25">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row>
    <row r="121" spans="1:39" x14ac:dyDescent="0.25">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row>
    <row r="122" spans="1:39" x14ac:dyDescent="0.25">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row>
    <row r="123" spans="1:39" x14ac:dyDescent="0.25">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row>
    <row r="124" spans="1:39" x14ac:dyDescent="0.25">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row>
    <row r="125" spans="1:39" x14ac:dyDescent="0.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row>
    <row r="126" spans="1:39" x14ac:dyDescent="0.25">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row>
    <row r="127" spans="1:39" x14ac:dyDescent="0.25">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row>
    <row r="128" spans="1:39" x14ac:dyDescent="0.25">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row>
    <row r="129" spans="1:39" x14ac:dyDescent="0.25">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row>
    <row r="130" spans="1:39" x14ac:dyDescent="0.25">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row>
    <row r="131" spans="1:39" x14ac:dyDescent="0.25">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row>
    <row r="132" spans="1:39" x14ac:dyDescent="0.25">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row>
    <row r="133" spans="1:39" x14ac:dyDescent="0.25">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row>
    <row r="134" spans="1:39" x14ac:dyDescent="0.25">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row>
    <row r="135" spans="1:39" x14ac:dyDescent="0.2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row>
    <row r="136" spans="1:39" x14ac:dyDescent="0.25">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row>
    <row r="137" spans="1:39" x14ac:dyDescent="0.25">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row>
    <row r="138" spans="1:39" x14ac:dyDescent="0.25">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row>
    <row r="139" spans="1:39" x14ac:dyDescent="0.25">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row>
    <row r="140" spans="1:39" x14ac:dyDescent="0.25">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row>
    <row r="141" spans="1:39" x14ac:dyDescent="0.25">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row>
    <row r="142" spans="1:39" x14ac:dyDescent="0.25">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row>
    <row r="143" spans="1:39" x14ac:dyDescent="0.25">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row>
    <row r="144" spans="1:39" x14ac:dyDescent="0.25">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row>
    <row r="145" spans="1:39" x14ac:dyDescent="0.2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row>
    <row r="146" spans="1:39" x14ac:dyDescent="0.25">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row>
    <row r="147" spans="1:39" x14ac:dyDescent="0.25">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row>
    <row r="148" spans="1:39" x14ac:dyDescent="0.25">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row>
    <row r="149" spans="1:39" x14ac:dyDescent="0.25">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row>
    <row r="150" spans="1:39" x14ac:dyDescent="0.25">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row>
    <row r="151" spans="1:39" x14ac:dyDescent="0.25">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row>
    <row r="152" spans="1:39" x14ac:dyDescent="0.25">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row>
    <row r="153" spans="1:39" x14ac:dyDescent="0.25">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row>
    <row r="154" spans="1:39" x14ac:dyDescent="0.25">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row>
    <row r="155" spans="1:39" x14ac:dyDescent="0.2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row>
    <row r="156" spans="1:39" x14ac:dyDescent="0.25">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row>
    <row r="157" spans="1:39" x14ac:dyDescent="0.25">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row>
    <row r="158" spans="1:39" x14ac:dyDescent="0.25">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row>
    <row r="159" spans="1:39" x14ac:dyDescent="0.25">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row>
    <row r="160" spans="1:39" x14ac:dyDescent="0.25">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row>
    <row r="161" spans="1:39" x14ac:dyDescent="0.25">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row>
    <row r="162" spans="1:39" x14ac:dyDescent="0.25">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row>
    <row r="163" spans="1:39" x14ac:dyDescent="0.25">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row>
    <row r="164" spans="1:39" x14ac:dyDescent="0.25">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row>
    <row r="165" spans="1:39" x14ac:dyDescent="0.2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row>
    <row r="166" spans="1:39" x14ac:dyDescent="0.25">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row>
    <row r="167" spans="1:39" x14ac:dyDescent="0.25">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row>
    <row r="168" spans="1:39" x14ac:dyDescent="0.25">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row>
    <row r="169" spans="1:39" x14ac:dyDescent="0.25">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row>
    <row r="170" spans="1:39" x14ac:dyDescent="0.25">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row>
    <row r="171" spans="1:39" x14ac:dyDescent="0.25">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row>
    <row r="172" spans="1:39" x14ac:dyDescent="0.25">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row>
    <row r="173" spans="1:39" x14ac:dyDescent="0.25">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row>
    <row r="174" spans="1:39" x14ac:dyDescent="0.25">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row>
    <row r="175" spans="1:39" x14ac:dyDescent="0.2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row>
    <row r="176" spans="1:39" x14ac:dyDescent="0.25">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row>
    <row r="177" spans="1:39" x14ac:dyDescent="0.25">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row>
    <row r="178" spans="1:39" x14ac:dyDescent="0.25">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row>
    <row r="179" spans="1:39" x14ac:dyDescent="0.25">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row>
    <row r="180" spans="1:39" x14ac:dyDescent="0.25">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row>
    <row r="181" spans="1:39" x14ac:dyDescent="0.25">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row>
    <row r="182" spans="1:39" x14ac:dyDescent="0.25">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row>
    <row r="183" spans="1:39" x14ac:dyDescent="0.25">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row>
    <row r="184" spans="1:39" x14ac:dyDescent="0.25">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row>
    <row r="185" spans="1:39" x14ac:dyDescent="0.2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row>
    <row r="186" spans="1:39" x14ac:dyDescent="0.25">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row>
    <row r="187" spans="1:39" x14ac:dyDescent="0.25">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row>
    <row r="188" spans="1:39" x14ac:dyDescent="0.25">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row>
    <row r="189" spans="1:39" x14ac:dyDescent="0.25">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row>
    <row r="190" spans="1:39" x14ac:dyDescent="0.25">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row>
    <row r="191" spans="1:39" x14ac:dyDescent="0.25">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row>
    <row r="192" spans="1:39" x14ac:dyDescent="0.25">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row>
    <row r="193" spans="1:39" x14ac:dyDescent="0.25">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row>
    <row r="194" spans="1:39" x14ac:dyDescent="0.25">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row>
    <row r="195" spans="1:39" x14ac:dyDescent="0.2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row>
    <row r="196" spans="1:39" x14ac:dyDescent="0.25">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row>
    <row r="197" spans="1:39" x14ac:dyDescent="0.25">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row>
    <row r="198" spans="1:39" x14ac:dyDescent="0.25">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row>
    <row r="199" spans="1:39" x14ac:dyDescent="0.25">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row>
    <row r="200" spans="1:39" x14ac:dyDescent="0.25">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row>
    <row r="201" spans="1:39" x14ac:dyDescent="0.25">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row>
    <row r="202" spans="1:39" x14ac:dyDescent="0.25">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row>
    <row r="203" spans="1:39" x14ac:dyDescent="0.25">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row>
    <row r="204" spans="1:39" x14ac:dyDescent="0.25">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row>
    <row r="205" spans="1:39" x14ac:dyDescent="0.2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row>
    <row r="206" spans="1:39" x14ac:dyDescent="0.25">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row>
    <row r="207" spans="1:39" x14ac:dyDescent="0.25">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row>
    <row r="208" spans="1:39" x14ac:dyDescent="0.25">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row>
    <row r="209" spans="1:39" x14ac:dyDescent="0.25">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row>
    <row r="210" spans="1:39" x14ac:dyDescent="0.25">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row>
    <row r="211" spans="1:39" x14ac:dyDescent="0.25">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row>
    <row r="212" spans="1:39" x14ac:dyDescent="0.25">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row>
    <row r="213" spans="1:39" x14ac:dyDescent="0.25">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row>
    <row r="214" spans="1:39" x14ac:dyDescent="0.25">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row>
    <row r="215" spans="1:39" x14ac:dyDescent="0.2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row>
    <row r="216" spans="1:39" x14ac:dyDescent="0.25">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row>
    <row r="217" spans="1:39" x14ac:dyDescent="0.25">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row>
    <row r="218" spans="1:39" x14ac:dyDescent="0.25">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row>
    <row r="219" spans="1:39" x14ac:dyDescent="0.25">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row>
    <row r="220" spans="1:39" x14ac:dyDescent="0.25">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row>
    <row r="221" spans="1:39" x14ac:dyDescent="0.25">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row>
    <row r="222" spans="1:39" x14ac:dyDescent="0.25">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row>
    <row r="223" spans="1:39" x14ac:dyDescent="0.25">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row>
    <row r="224" spans="1:39" x14ac:dyDescent="0.25">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row>
    <row r="225" spans="1:39" x14ac:dyDescent="0.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row>
    <row r="226" spans="1:39" x14ac:dyDescent="0.25">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row>
    <row r="227" spans="1:39" x14ac:dyDescent="0.25">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row>
    <row r="228" spans="1:39" x14ac:dyDescent="0.25">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row>
    <row r="229" spans="1:39" x14ac:dyDescent="0.25">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row>
    <row r="230" spans="1:39" x14ac:dyDescent="0.25">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row>
    <row r="231" spans="1:39" x14ac:dyDescent="0.25">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row>
  </sheetData>
  <mergeCells count="5">
    <mergeCell ref="A1:AA1"/>
    <mergeCell ref="L28:O32"/>
    <mergeCell ref="M33:N33"/>
    <mergeCell ref="M34:N34"/>
    <mergeCell ref="M35:N35"/>
  </mergeCells>
  <conditionalFormatting sqref="Q21:U37">
    <cfRule type="dataBar" priority="2">
      <dataBar>
        <cfvo type="num" val="0"/>
        <cfvo type="formula" val="MAX($Q$21:$U$37)*2"/>
        <color theme="1"/>
      </dataBar>
      <extLst>
        <ext xmlns:x14="http://schemas.microsoft.com/office/spreadsheetml/2009/9/main" uri="{B025F937-C7B1-47D3-B67F-A62EFF666E3E}">
          <x14:id>{8DC978CE-AD52-4D4B-9C7A-04E6746B7F62}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A77C7A7B-B1F8-463E-B4B2-9960F3560D47}">
            <xm:f>Q$19=pivot!$B$49</xm:f>
            <x14:dxf>
              <fill>
                <patternFill>
                  <bgColor theme="8" tint="0.39994506668294322"/>
                </patternFill>
              </fill>
              <border>
                <vertical/>
                <horizontal/>
              </border>
            </x14:dxf>
          </x14:cfRule>
          <xm:sqref>Q19:U37</xm:sqref>
        </x14:conditionalFormatting>
        <x14:conditionalFormatting xmlns:xm="http://schemas.microsoft.com/office/excel/2006/main">
          <x14:cfRule type="dataBar" id="{8DC978CE-AD52-4D4B-9C7A-04E6746B7F62}">
            <x14:dataBar minLength="0" maxLength="100" gradient="0">
              <x14:cfvo type="num">
                <xm:f>0</xm:f>
              </x14:cfvo>
              <x14:cfvo type="formula">
                <xm:f>MAX($Q$21:$U$37)*2</xm:f>
              </x14:cfvo>
              <x14:negativeFillColor rgb="FFFF0000"/>
              <x14:axisColor rgb="FF000000"/>
            </x14:dataBar>
          </x14:cfRule>
          <xm:sqref>Q21:U37</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BB3D9-3AE4-473A-9798-9119C0C2F8B4}">
  <dimension ref="A3:K90"/>
  <sheetViews>
    <sheetView topLeftCell="A43" workbookViewId="0">
      <selection activeCell="S2" sqref="S2"/>
    </sheetView>
  </sheetViews>
  <sheetFormatPr defaultRowHeight="15" x14ac:dyDescent="0.25"/>
  <cols>
    <col min="1" max="2" width="13.42578125" bestFit="1" customWidth="1"/>
    <col min="3" max="3" width="10.5703125" bestFit="1" customWidth="1"/>
    <col min="4" max="4" width="9.85546875" bestFit="1" customWidth="1"/>
    <col min="5" max="5" width="7.140625" bestFit="1" customWidth="1"/>
    <col min="6" max="7" width="7" bestFit="1" customWidth="1"/>
    <col min="8" max="8" width="11.28515625" bestFit="1" customWidth="1"/>
    <col min="9" max="9" width="13.42578125" bestFit="1" customWidth="1"/>
    <col min="10" max="10" width="10.5703125" bestFit="1" customWidth="1"/>
    <col min="11" max="11" width="11.5703125" bestFit="1" customWidth="1"/>
  </cols>
  <sheetData>
    <row r="3" spans="1:5" x14ac:dyDescent="0.25">
      <c r="A3" t="s">
        <v>1042</v>
      </c>
      <c r="B3" t="s">
        <v>1043</v>
      </c>
      <c r="C3" t="s">
        <v>1044</v>
      </c>
      <c r="D3" t="s">
        <v>1045</v>
      </c>
      <c r="E3" t="s">
        <v>1046</v>
      </c>
    </row>
    <row r="4" spans="1:5" x14ac:dyDescent="0.25">
      <c r="A4" s="21">
        <v>1000</v>
      </c>
      <c r="B4" s="23">
        <v>96623</v>
      </c>
      <c r="C4" s="21">
        <v>89850</v>
      </c>
      <c r="D4" s="22">
        <v>3.8854000000000033</v>
      </c>
      <c r="E4" s="21">
        <v>307</v>
      </c>
    </row>
    <row r="11" spans="1:5" x14ac:dyDescent="0.25">
      <c r="A11" t="s">
        <v>1042</v>
      </c>
      <c r="B11" t="s">
        <v>1043</v>
      </c>
      <c r="C11" t="s">
        <v>1044</v>
      </c>
      <c r="D11" t="s">
        <v>1045</v>
      </c>
      <c r="E11" t="s">
        <v>1046</v>
      </c>
    </row>
    <row r="12" spans="1:5" x14ac:dyDescent="0.25">
      <c r="A12" s="21">
        <v>189</v>
      </c>
      <c r="B12" s="23">
        <v>18415</v>
      </c>
      <c r="C12" s="21">
        <v>16834</v>
      </c>
      <c r="D12" s="22">
        <v>3.9227513227513247</v>
      </c>
      <c r="E12" s="21">
        <v>60</v>
      </c>
    </row>
    <row r="19" spans="1:10" x14ac:dyDescent="0.25">
      <c r="A19" s="24" t="s">
        <v>1047</v>
      </c>
      <c r="B19" t="s">
        <v>1042</v>
      </c>
      <c r="C19" t="s">
        <v>1062</v>
      </c>
    </row>
    <row r="20" spans="1:10" x14ac:dyDescent="0.25">
      <c r="A20" s="25" t="s">
        <v>1049</v>
      </c>
      <c r="B20" s="21">
        <v>16</v>
      </c>
      <c r="C20" s="21">
        <v>16</v>
      </c>
      <c r="I20" s="24" t="s">
        <v>1047</v>
      </c>
      <c r="J20" t="s">
        <v>1042</v>
      </c>
    </row>
    <row r="21" spans="1:10" x14ac:dyDescent="0.25">
      <c r="A21" s="25" t="s">
        <v>1050</v>
      </c>
      <c r="B21" s="21">
        <v>14</v>
      </c>
      <c r="C21" s="21">
        <v>14</v>
      </c>
      <c r="I21" s="25" t="s">
        <v>1066</v>
      </c>
      <c r="J21" s="21">
        <v>36</v>
      </c>
    </row>
    <row r="22" spans="1:10" x14ac:dyDescent="0.25">
      <c r="A22" s="25" t="s">
        <v>1051</v>
      </c>
      <c r="B22" s="21">
        <v>26</v>
      </c>
      <c r="C22" s="21">
        <v>26</v>
      </c>
      <c r="I22" s="25" t="s">
        <v>1064</v>
      </c>
      <c r="J22" s="21">
        <v>30</v>
      </c>
    </row>
    <row r="23" spans="1:10" x14ac:dyDescent="0.25">
      <c r="A23" s="25" t="s">
        <v>1052</v>
      </c>
      <c r="B23" s="21">
        <v>29</v>
      </c>
      <c r="C23" s="21">
        <v>29</v>
      </c>
      <c r="I23" s="25" t="s">
        <v>1068</v>
      </c>
      <c r="J23" s="21">
        <v>13</v>
      </c>
    </row>
    <row r="24" spans="1:10" x14ac:dyDescent="0.25">
      <c r="A24" s="25" t="s">
        <v>1053</v>
      </c>
      <c r="B24" s="21">
        <v>17</v>
      </c>
      <c r="C24" s="21">
        <v>17</v>
      </c>
      <c r="I24" s="25" t="s">
        <v>1069</v>
      </c>
      <c r="J24" s="21">
        <v>23</v>
      </c>
    </row>
    <row r="25" spans="1:10" x14ac:dyDescent="0.25">
      <c r="A25" s="25" t="s">
        <v>1054</v>
      </c>
      <c r="B25" s="21">
        <v>15</v>
      </c>
      <c r="C25" s="21">
        <v>15</v>
      </c>
      <c r="I25" s="25" t="s">
        <v>1067</v>
      </c>
      <c r="J25" s="21">
        <v>23</v>
      </c>
    </row>
    <row r="26" spans="1:10" x14ac:dyDescent="0.25">
      <c r="A26" s="25" t="s">
        <v>1055</v>
      </c>
      <c r="B26" s="21">
        <v>15</v>
      </c>
      <c r="C26" s="21">
        <v>15</v>
      </c>
      <c r="I26" s="25" t="s">
        <v>1063</v>
      </c>
      <c r="J26" s="21">
        <v>24</v>
      </c>
    </row>
    <row r="27" spans="1:10" x14ac:dyDescent="0.25">
      <c r="A27" s="25" t="s">
        <v>1056</v>
      </c>
      <c r="B27" s="21">
        <v>7</v>
      </c>
      <c r="C27" s="21">
        <v>7</v>
      </c>
      <c r="I27" s="25" t="s">
        <v>1065</v>
      </c>
      <c r="J27" s="21">
        <v>40</v>
      </c>
    </row>
    <row r="28" spans="1:10" x14ac:dyDescent="0.25">
      <c r="A28" s="25" t="s">
        <v>1057</v>
      </c>
      <c r="B28" s="21">
        <v>11</v>
      </c>
      <c r="C28" s="21">
        <v>11</v>
      </c>
      <c r="I28" s="25" t="s">
        <v>1048</v>
      </c>
      <c r="J28" s="21">
        <v>189</v>
      </c>
    </row>
    <row r="29" spans="1:10" x14ac:dyDescent="0.25">
      <c r="A29" s="25" t="s">
        <v>1058</v>
      </c>
      <c r="B29" s="21">
        <v>24</v>
      </c>
      <c r="C29" s="21">
        <v>24</v>
      </c>
    </row>
    <row r="30" spans="1:10" x14ac:dyDescent="0.25">
      <c r="A30" s="25" t="s">
        <v>1059</v>
      </c>
      <c r="B30" s="21">
        <v>9</v>
      </c>
      <c r="C30" s="21">
        <v>9</v>
      </c>
    </row>
    <row r="31" spans="1:10" x14ac:dyDescent="0.25">
      <c r="A31" s="25" t="s">
        <v>1060</v>
      </c>
      <c r="B31" s="21">
        <v>6</v>
      </c>
      <c r="C31" s="21">
        <v>6</v>
      </c>
    </row>
    <row r="32" spans="1:10" x14ac:dyDescent="0.25">
      <c r="A32" s="25" t="s">
        <v>1048</v>
      </c>
      <c r="B32" s="21">
        <v>189</v>
      </c>
      <c r="C32" s="21">
        <v>189</v>
      </c>
    </row>
    <row r="36" spans="1:11" x14ac:dyDescent="0.25">
      <c r="G36" t="s">
        <v>1070</v>
      </c>
      <c r="J36" t="s">
        <v>1076</v>
      </c>
      <c r="K36" t="str">
        <f>B49</f>
        <v>R01</v>
      </c>
    </row>
    <row r="37" spans="1:11" x14ac:dyDescent="0.25">
      <c r="A37" s="24" t="s">
        <v>1047</v>
      </c>
      <c r="B37" t="s">
        <v>1061</v>
      </c>
      <c r="C37" t="s">
        <v>1043</v>
      </c>
      <c r="G37" t="s">
        <v>1071</v>
      </c>
      <c r="H37" t="s">
        <v>1072</v>
      </c>
      <c r="I37" t="s">
        <v>1073</v>
      </c>
      <c r="J37" t="s">
        <v>1075</v>
      </c>
      <c r="K37" t="s">
        <v>1074</v>
      </c>
    </row>
    <row r="38" spans="1:11" x14ac:dyDescent="0.25">
      <c r="A38" s="25" t="s">
        <v>11</v>
      </c>
      <c r="B38">
        <v>189</v>
      </c>
      <c r="C38" s="23">
        <v>18415</v>
      </c>
      <c r="G38" t="str" cm="1">
        <f t="array" ref="G38:I42">A38:C42</f>
        <v>R01</v>
      </c>
      <c r="H38">
        <v>189</v>
      </c>
      <c r="I38" s="26">
        <v>18415</v>
      </c>
      <c r="J38">
        <f>IF(G38=$K$36,H38,NA())</f>
        <v>189</v>
      </c>
      <c r="K38">
        <f>IF(G38=$K$36,I38,NA())</f>
        <v>18415</v>
      </c>
    </row>
    <row r="39" spans="1:11" x14ac:dyDescent="0.25">
      <c r="A39" s="25" t="s">
        <v>9</v>
      </c>
      <c r="B39">
        <v>218</v>
      </c>
      <c r="C39" s="23">
        <v>20581</v>
      </c>
      <c r="G39" t="str">
        <v>R02</v>
      </c>
      <c r="H39">
        <v>218</v>
      </c>
      <c r="I39" s="26">
        <v>20581</v>
      </c>
      <c r="J39" t="e">
        <f t="shared" ref="J39:J42" si="0">IF(G39=$K$36,H39,NA())</f>
        <v>#N/A</v>
      </c>
      <c r="K39" t="e">
        <f t="shared" ref="K39:K42" si="1">IF(G39=$K$36,I39,NA())</f>
        <v>#N/A</v>
      </c>
    </row>
    <row r="40" spans="1:11" x14ac:dyDescent="0.25">
      <c r="A40" s="25" t="s">
        <v>6</v>
      </c>
      <c r="B40">
        <v>207</v>
      </c>
      <c r="C40" s="23">
        <v>20872</v>
      </c>
      <c r="G40" t="str">
        <v>R03</v>
      </c>
      <c r="H40">
        <v>207</v>
      </c>
      <c r="I40" s="26">
        <v>20872</v>
      </c>
      <c r="J40" t="e">
        <f t="shared" si="0"/>
        <v>#N/A</v>
      </c>
      <c r="K40" t="e">
        <f t="shared" si="1"/>
        <v>#N/A</v>
      </c>
    </row>
    <row r="41" spans="1:11" x14ac:dyDescent="0.25">
      <c r="A41" s="25" t="s">
        <v>13</v>
      </c>
      <c r="B41">
        <v>186</v>
      </c>
      <c r="C41" s="23">
        <v>16651</v>
      </c>
      <c r="G41" t="str">
        <v>R04</v>
      </c>
      <c r="H41">
        <v>186</v>
      </c>
      <c r="I41" s="26">
        <v>16651</v>
      </c>
      <c r="J41" t="e">
        <f t="shared" si="0"/>
        <v>#N/A</v>
      </c>
      <c r="K41" t="e">
        <f t="shared" si="1"/>
        <v>#N/A</v>
      </c>
    </row>
    <row r="42" spans="1:11" x14ac:dyDescent="0.25">
      <c r="A42" s="25" t="s">
        <v>10</v>
      </c>
      <c r="B42">
        <v>200</v>
      </c>
      <c r="C42" s="23">
        <v>20104</v>
      </c>
      <c r="G42" t="str">
        <v>R05</v>
      </c>
      <c r="H42">
        <v>200</v>
      </c>
      <c r="I42" s="26">
        <v>20104</v>
      </c>
      <c r="J42" t="e">
        <f t="shared" si="0"/>
        <v>#N/A</v>
      </c>
      <c r="K42" t="e">
        <f t="shared" si="1"/>
        <v>#N/A</v>
      </c>
    </row>
    <row r="43" spans="1:11" x14ac:dyDescent="0.25">
      <c r="A43" s="25" t="s">
        <v>1048</v>
      </c>
      <c r="B43">
        <v>1000</v>
      </c>
      <c r="C43" s="23">
        <v>96623</v>
      </c>
    </row>
    <row r="45" spans="1:11" x14ac:dyDescent="0.25">
      <c r="I45" t="s">
        <v>1079</v>
      </c>
    </row>
    <row r="47" spans="1:11" x14ac:dyDescent="0.25">
      <c r="I47" t="s">
        <v>1080</v>
      </c>
      <c r="J47" s="1">
        <f>A12/A4</f>
        <v>0.189</v>
      </c>
    </row>
    <row r="48" spans="1:11" x14ac:dyDescent="0.25">
      <c r="B48" s="24" t="s">
        <v>1047</v>
      </c>
      <c r="I48" t="s">
        <v>1072</v>
      </c>
      <c r="J48">
        <f>_xlfn.XLOOKUP(B49,G38:G42,H38:H42)</f>
        <v>189</v>
      </c>
    </row>
    <row r="49" spans="2:10" x14ac:dyDescent="0.25">
      <c r="B49" s="27" t="s">
        <v>11</v>
      </c>
      <c r="I49" t="s">
        <v>1073</v>
      </c>
      <c r="J49">
        <f>_xlfn.XLOOKUP(B49,G38:G42,I38:I42)</f>
        <v>18415</v>
      </c>
    </row>
    <row r="51" spans="2:10" x14ac:dyDescent="0.25">
      <c r="I51" t="s">
        <v>1082</v>
      </c>
      <c r="J51">
        <f>_xlfn.RANK.AVG(J48,H38:H42)</f>
        <v>4</v>
      </c>
    </row>
    <row r="52" spans="2:10" x14ac:dyDescent="0.25">
      <c r="I52" t="s">
        <v>1081</v>
      </c>
      <c r="J52">
        <f>_xlfn.RANK.AVG(J49,I38:I42)</f>
        <v>4</v>
      </c>
    </row>
    <row r="54" spans="2:10" x14ac:dyDescent="0.25">
      <c r="B54" s="24" t="s">
        <v>1042</v>
      </c>
      <c r="C54" s="24" t="s">
        <v>1077</v>
      </c>
      <c r="I54" t="s">
        <v>1083</v>
      </c>
    </row>
    <row r="55" spans="2:10" x14ac:dyDescent="0.25">
      <c r="B55" s="24" t="s">
        <v>1047</v>
      </c>
      <c r="C55" t="s">
        <v>999</v>
      </c>
      <c r="D55" t="s">
        <v>998</v>
      </c>
      <c r="E55" t="s">
        <v>1048</v>
      </c>
      <c r="J55" t="str">
        <f>"% of calls:"&amp;(TEXT(J47,"0%"))</f>
        <v>% of calls:19%</v>
      </c>
    </row>
    <row r="56" spans="2:10" x14ac:dyDescent="0.25">
      <c r="B56" s="25" t="s">
        <v>1002</v>
      </c>
      <c r="C56" s="21">
        <v>144</v>
      </c>
      <c r="D56" s="21">
        <v>132</v>
      </c>
      <c r="E56" s="21">
        <v>276</v>
      </c>
      <c r="J56" t="str">
        <f>IF(COUNTA(B49:B53)&gt;1,"","call rank:"&amp;J51)</f>
        <v>call rank:4</v>
      </c>
    </row>
    <row r="57" spans="2:10" x14ac:dyDescent="0.25">
      <c r="B57" s="25" t="s">
        <v>1001</v>
      </c>
      <c r="C57" s="21">
        <v>326</v>
      </c>
      <c r="D57" s="21">
        <v>63</v>
      </c>
      <c r="E57" s="21">
        <v>389</v>
      </c>
      <c r="J57" t="str">
        <f>IF(COUNTA(B49:B53)&gt;1,"","Amount rank:"&amp;J52)</f>
        <v>Amount rank:4</v>
      </c>
    </row>
    <row r="58" spans="2:10" x14ac:dyDescent="0.25">
      <c r="B58" s="25" t="s">
        <v>1000</v>
      </c>
      <c r="C58" s="21">
        <v>129</v>
      </c>
      <c r="D58" s="21">
        <v>206</v>
      </c>
      <c r="E58" s="21">
        <v>335</v>
      </c>
    </row>
    <row r="59" spans="2:10" x14ac:dyDescent="0.25">
      <c r="B59" s="25" t="s">
        <v>1048</v>
      </c>
      <c r="C59" s="21">
        <v>599</v>
      </c>
      <c r="D59" s="21">
        <v>401</v>
      </c>
      <c r="E59" s="21">
        <v>1000</v>
      </c>
      <c r="I59" t="s">
        <v>1084</v>
      </c>
      <c r="J59" t="e" vm="1">
        <f>IF(COUNTA(B49:B53)&gt;1,"",_xlfn.XLOOKUP(B49,Assets!$E$3:$E$7,Assets!$F$3:$F$7))</f>
        <v>#VALUE!</v>
      </c>
    </row>
    <row r="63" spans="2:10" x14ac:dyDescent="0.25">
      <c r="B63" s="24" t="s">
        <v>1047</v>
      </c>
      <c r="C63" t="s">
        <v>1042</v>
      </c>
    </row>
    <row r="64" spans="2:10" x14ac:dyDescent="0.25">
      <c r="B64" s="25">
        <v>1</v>
      </c>
      <c r="C64" s="21">
        <v>1</v>
      </c>
    </row>
    <row r="65" spans="2:8" x14ac:dyDescent="0.25">
      <c r="B65" s="25">
        <v>2</v>
      </c>
      <c r="C65" s="21">
        <v>9</v>
      </c>
    </row>
    <row r="66" spans="2:8" x14ac:dyDescent="0.25">
      <c r="B66" s="25">
        <v>3</v>
      </c>
      <c r="C66" s="21">
        <v>31</v>
      </c>
    </row>
    <row r="67" spans="2:8" x14ac:dyDescent="0.25">
      <c r="B67" s="25">
        <v>4</v>
      </c>
      <c r="C67" s="21">
        <v>88</v>
      </c>
    </row>
    <row r="68" spans="2:8" x14ac:dyDescent="0.25">
      <c r="B68" s="25">
        <v>5</v>
      </c>
      <c r="C68" s="21">
        <v>60</v>
      </c>
    </row>
    <row r="69" spans="2:8" x14ac:dyDescent="0.25">
      <c r="B69" s="25" t="s">
        <v>1048</v>
      </c>
      <c r="C69" s="21">
        <v>189</v>
      </c>
    </row>
    <row r="71" spans="2:8" x14ac:dyDescent="0.25">
      <c r="B71" s="24" t="s">
        <v>1043</v>
      </c>
      <c r="C71" s="24" t="s">
        <v>1077</v>
      </c>
    </row>
    <row r="72" spans="2:8" x14ac:dyDescent="0.25">
      <c r="B72" s="24" t="s">
        <v>1047</v>
      </c>
      <c r="C72" t="s">
        <v>11</v>
      </c>
      <c r="D72" t="s">
        <v>9</v>
      </c>
      <c r="E72" t="s">
        <v>6</v>
      </c>
      <c r="F72" t="s">
        <v>13</v>
      </c>
      <c r="G72" t="s">
        <v>10</v>
      </c>
      <c r="H72" t="s">
        <v>1048</v>
      </c>
    </row>
    <row r="73" spans="2:8" x14ac:dyDescent="0.25">
      <c r="B73" s="25" t="s">
        <v>1002</v>
      </c>
    </row>
    <row r="74" spans="2:8" x14ac:dyDescent="0.25">
      <c r="B74" s="28" t="s">
        <v>20</v>
      </c>
      <c r="C74" s="23">
        <v>891</v>
      </c>
      <c r="D74" s="23">
        <v>1332</v>
      </c>
      <c r="E74" s="23">
        <v>1282</v>
      </c>
      <c r="F74" s="23">
        <v>739</v>
      </c>
      <c r="G74" s="23">
        <v>560</v>
      </c>
      <c r="H74" s="23">
        <v>4804</v>
      </c>
    </row>
    <row r="75" spans="2:8" x14ac:dyDescent="0.25">
      <c r="B75" s="28" t="s">
        <v>12</v>
      </c>
      <c r="C75" s="23">
        <v>1991</v>
      </c>
      <c r="D75" s="23">
        <v>1886</v>
      </c>
      <c r="E75" s="23">
        <v>1206</v>
      </c>
      <c r="F75" s="23">
        <v>884</v>
      </c>
      <c r="G75" s="23">
        <v>1722</v>
      </c>
      <c r="H75" s="23">
        <v>7689</v>
      </c>
    </row>
    <row r="76" spans="2:8" x14ac:dyDescent="0.25">
      <c r="B76" s="28" t="s">
        <v>8</v>
      </c>
      <c r="C76" s="23">
        <v>1163</v>
      </c>
      <c r="D76" s="23">
        <v>1180</v>
      </c>
      <c r="E76" s="23">
        <v>1616</v>
      </c>
      <c r="F76" s="23">
        <v>1043</v>
      </c>
      <c r="G76" s="23">
        <v>1747</v>
      </c>
      <c r="H76" s="23">
        <v>6749</v>
      </c>
    </row>
    <row r="77" spans="2:8" x14ac:dyDescent="0.25">
      <c r="B77" s="28" t="s">
        <v>16</v>
      </c>
      <c r="C77" s="23">
        <v>1438</v>
      </c>
      <c r="D77" s="23">
        <v>1616</v>
      </c>
      <c r="E77" s="23">
        <v>866</v>
      </c>
      <c r="F77" s="23">
        <v>829</v>
      </c>
      <c r="G77" s="23">
        <v>2070</v>
      </c>
      <c r="H77" s="23">
        <v>6819</v>
      </c>
    </row>
    <row r="78" spans="2:8" x14ac:dyDescent="0.25">
      <c r="B78" s="25" t="s">
        <v>1001</v>
      </c>
    </row>
    <row r="79" spans="2:8" x14ac:dyDescent="0.25">
      <c r="B79" s="28" t="s">
        <v>24</v>
      </c>
      <c r="C79" s="23">
        <v>1233</v>
      </c>
      <c r="D79" s="23">
        <v>223</v>
      </c>
      <c r="E79" s="23">
        <v>1680</v>
      </c>
      <c r="F79" s="23">
        <v>990</v>
      </c>
      <c r="G79" s="23">
        <v>1508</v>
      </c>
      <c r="H79" s="23">
        <v>5634</v>
      </c>
    </row>
    <row r="80" spans="2:8" x14ac:dyDescent="0.25">
      <c r="B80" s="28" t="s">
        <v>15</v>
      </c>
      <c r="C80" s="23">
        <v>1598</v>
      </c>
      <c r="D80" s="23">
        <v>1907</v>
      </c>
      <c r="E80" s="23">
        <v>869</v>
      </c>
      <c r="F80" s="23">
        <v>1426</v>
      </c>
      <c r="G80" s="23">
        <v>1416</v>
      </c>
      <c r="H80" s="23">
        <v>7216</v>
      </c>
    </row>
    <row r="81" spans="2:8" x14ac:dyDescent="0.25">
      <c r="B81" s="28" t="s">
        <v>5</v>
      </c>
      <c r="C81" s="23">
        <v>900</v>
      </c>
      <c r="D81" s="23">
        <v>1016</v>
      </c>
      <c r="E81" s="23">
        <v>960</v>
      </c>
      <c r="F81" s="23">
        <v>940</v>
      </c>
      <c r="G81" s="23">
        <v>1193</v>
      </c>
      <c r="H81" s="23">
        <v>5009</v>
      </c>
    </row>
    <row r="82" spans="2:8" x14ac:dyDescent="0.25">
      <c r="B82" s="28" t="s">
        <v>18</v>
      </c>
      <c r="C82" s="23">
        <v>900</v>
      </c>
      <c r="D82" s="23">
        <v>1470</v>
      </c>
      <c r="E82" s="23">
        <v>1617</v>
      </c>
      <c r="F82" s="23">
        <v>1314</v>
      </c>
      <c r="G82" s="23">
        <v>941</v>
      </c>
      <c r="H82" s="23">
        <v>6242</v>
      </c>
    </row>
    <row r="83" spans="2:8" x14ac:dyDescent="0.25">
      <c r="B83" s="28" t="s">
        <v>14</v>
      </c>
      <c r="C83" s="23">
        <v>1255</v>
      </c>
      <c r="D83" s="23">
        <v>516</v>
      </c>
      <c r="E83" s="23">
        <v>1874</v>
      </c>
      <c r="F83" s="23">
        <v>1863</v>
      </c>
      <c r="G83" s="23">
        <v>1722</v>
      </c>
      <c r="H83" s="23">
        <v>7230</v>
      </c>
    </row>
    <row r="84" spans="2:8" x14ac:dyDescent="0.25">
      <c r="B84" s="28" t="s">
        <v>19</v>
      </c>
      <c r="C84" s="23">
        <v>1138</v>
      </c>
      <c r="D84" s="23">
        <v>1898</v>
      </c>
      <c r="E84" s="23">
        <v>1482</v>
      </c>
      <c r="F84" s="23">
        <v>846</v>
      </c>
      <c r="G84" s="23">
        <v>1154</v>
      </c>
      <c r="H84" s="23">
        <v>6518</v>
      </c>
    </row>
    <row r="85" spans="2:8" x14ac:dyDescent="0.25">
      <c r="B85" s="25" t="s">
        <v>1000</v>
      </c>
    </row>
    <row r="86" spans="2:8" x14ac:dyDescent="0.25">
      <c r="B86" s="28" t="s">
        <v>17</v>
      </c>
      <c r="C86" s="23">
        <v>1655</v>
      </c>
      <c r="D86" s="23">
        <v>805</v>
      </c>
      <c r="E86" s="23">
        <v>2263</v>
      </c>
      <c r="F86" s="23">
        <v>987</v>
      </c>
      <c r="G86" s="23">
        <v>1075</v>
      </c>
      <c r="H86" s="23">
        <v>6785</v>
      </c>
    </row>
    <row r="87" spans="2:8" x14ac:dyDescent="0.25">
      <c r="B87" s="28" t="s">
        <v>23</v>
      </c>
      <c r="C87" s="23">
        <v>1104</v>
      </c>
      <c r="D87" s="23">
        <v>2280</v>
      </c>
      <c r="E87" s="23">
        <v>1445</v>
      </c>
      <c r="F87" s="23">
        <v>1722</v>
      </c>
      <c r="G87" s="23">
        <v>1196</v>
      </c>
      <c r="H87" s="23">
        <v>7747</v>
      </c>
    </row>
    <row r="88" spans="2:8" x14ac:dyDescent="0.25">
      <c r="B88" s="28" t="s">
        <v>7</v>
      </c>
      <c r="C88" s="23">
        <v>372</v>
      </c>
      <c r="D88" s="23">
        <v>1818</v>
      </c>
      <c r="E88" s="23">
        <v>1346</v>
      </c>
      <c r="F88" s="23">
        <v>1156</v>
      </c>
      <c r="G88" s="23">
        <v>1484</v>
      </c>
      <c r="H88" s="23">
        <v>6176</v>
      </c>
    </row>
    <row r="89" spans="2:8" x14ac:dyDescent="0.25">
      <c r="B89" s="28" t="s">
        <v>22</v>
      </c>
      <c r="C89" s="23">
        <v>1415</v>
      </c>
      <c r="D89" s="23">
        <v>1271</v>
      </c>
      <c r="E89" s="23">
        <v>1214</v>
      </c>
      <c r="F89" s="23">
        <v>1135</v>
      </c>
      <c r="G89" s="23">
        <v>1566</v>
      </c>
      <c r="H89" s="23">
        <v>6601</v>
      </c>
    </row>
    <row r="90" spans="2:8" x14ac:dyDescent="0.25">
      <c r="B90" s="28" t="s">
        <v>21</v>
      </c>
      <c r="C90" s="23">
        <v>1362</v>
      </c>
      <c r="D90" s="23">
        <v>1363</v>
      </c>
      <c r="E90" s="23">
        <v>1152</v>
      </c>
      <c r="F90" s="23">
        <v>777</v>
      </c>
      <c r="G90" s="23">
        <v>750</v>
      </c>
      <c r="H90" s="23">
        <v>5404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C17" sqref="C17"/>
    </sheetView>
  </sheetViews>
  <sheetFormatPr defaultRowHeight="15" x14ac:dyDescent="0.25"/>
  <cols>
    <col min="1" max="1" width="3.7109375" customWidth="1"/>
    <col min="2" max="2" width="14.7109375" customWidth="1"/>
    <col min="3" max="3" width="13" customWidth="1"/>
    <col min="4" max="4" width="16.7109375" customWidth="1"/>
    <col min="5" max="5" width="15.140625" customWidth="1"/>
    <col min="6" max="6" width="16.28515625" customWidth="1"/>
    <col min="7" max="7" width="17.28515625" customWidth="1"/>
    <col min="8" max="8" width="18.42578125" customWidth="1"/>
    <col min="9" max="9" width="17.28515625" customWidth="1"/>
    <col min="10" max="12" width="15.5703125" customWidth="1"/>
    <col min="13" max="16" width="7.5703125" customWidth="1"/>
    <col min="17" max="17" width="14.7109375" customWidth="1"/>
    <col min="20" max="20" width="10.710937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J8" activeCellId="1" sqref="H13 J8"/>
    </sheetView>
  </sheetViews>
  <sheetFormatPr defaultRowHeight="15" x14ac:dyDescent="0.25"/>
  <cols>
    <col min="5" max="5" width="11" customWidth="1"/>
    <col min="6" max="6" width="10" customWidth="1"/>
  </cols>
  <sheetData>
    <row r="2" spans="5:6" x14ac:dyDescent="0.25">
      <c r="E2" t="s">
        <v>1040</v>
      </c>
      <c r="F2" t="s">
        <v>1041</v>
      </c>
    </row>
    <row r="3" spans="5:6" ht="25.5" customHeight="1" x14ac:dyDescent="0.25">
      <c r="E3" t="s">
        <v>11</v>
      </c>
      <c r="F3" t="e" vm="2">
        <v>#VALUE!</v>
      </c>
    </row>
    <row r="4" spans="5:6" ht="25.5" customHeight="1" x14ac:dyDescent="0.25">
      <c r="E4" t="s">
        <v>9</v>
      </c>
      <c r="F4" t="e" vm="3">
        <v>#VALUE!</v>
      </c>
    </row>
    <row r="5" spans="5:6" ht="25.5" customHeight="1" x14ac:dyDescent="0.25">
      <c r="E5" t="s">
        <v>6</v>
      </c>
      <c r="F5" t="e" vm="4">
        <v>#VALUE!</v>
      </c>
    </row>
    <row r="6" spans="5:6" ht="25.5" customHeight="1" x14ac:dyDescent="0.25">
      <c r="E6" t="s">
        <v>13</v>
      </c>
      <c r="F6" t="e" vm="5">
        <v>#VALUE!</v>
      </c>
    </row>
    <row r="7" spans="5:6" ht="25.5" customHeight="1" x14ac:dyDescent="0.25">
      <c r="E7" t="s">
        <v>10</v>
      </c>
      <c r="F7" t="e" vm="6">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AMRUTHA DEVENDRAN</cp:lastModifiedBy>
  <dcterms:created xsi:type="dcterms:W3CDTF">2021-03-14T20:21:32Z</dcterms:created>
  <dcterms:modified xsi:type="dcterms:W3CDTF">2026-06-07T05:35:16Z</dcterms:modified>
</cp:coreProperties>
</file>